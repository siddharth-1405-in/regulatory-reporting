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Summary" sheetId="2" state="visible" r:id="rId4"/>
    <sheet name="Schedule 1" sheetId="3" state="visible" r:id="rId5"/>
    <sheet name="Schedule 2" sheetId="4" state="visible" r:id="rId6"/>
    <sheet name="Schedule 3" sheetId="5" state="visible" r:id="rId7"/>
    <sheet name="Schedule 4" sheetId="6" state="visible" r:id="rId8"/>
    <sheet name="Schedule 5" sheetId="7" state="visible" r:id="rId9"/>
    <sheet name="Schedule 6"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<sst xmlns="http://schemas.openxmlformats.org/spreadsheetml/2006/main" count="369" uniqueCount="270">
  <si>
    <t xml:space="preserve">SAMA Capital Adequacy Return — Q17</t>
  </si>
  <si>
    <t xml:space="preserve">CAR-SA-01  |  Quarterly Prudential Return</t>
  </si>
  <si>
    <t xml:space="preserve">Bank Full Legal Name</t>
  </si>
  <si>
    <t xml:space="preserve">SAMA License Number</t>
  </si>
  <si>
    <t xml:space="preserve">Reporting Quarter</t>
  </si>
  <si>
    <t xml:space="preserve">e.g. Q2 2025</t>
  </si>
  <si>
    <t xml:space="preserve">Reporting Period End Date</t>
  </si>
  <si>
    <t xml:space="preserve">DD/MM/YYYY</t>
  </si>
  <si>
    <t xml:space="preserve">Submission Date</t>
  </si>
  <si>
    <t xml:space="preserve">Prepared By (Name)</t>
  </si>
  <si>
    <t xml:space="preserve">Reviewed By (Name)</t>
  </si>
  <si>
    <t xml:space="preserve">Approved By (Board / CEO)</t>
  </si>
  <si>
    <t xml:space="preserve">Reporting Currency</t>
  </si>
  <si>
    <t xml:space="preserve">SAR</t>
  </si>
  <si>
    <t xml:space="preserve">Units</t>
  </si>
  <si>
    <t xml:space="preserve">SAR '000</t>
  </si>
  <si>
    <t xml:space="preserve">Declaration</t>
  </si>
  <si>
    <t xml:space="preserve">We confirm that the information contained in this Capital Adequacy Return is accurate and complete to the best of our knowledge and belief, and has been prepared in accordance with SAMA's Basel III Capital Adequacy Framework and all applicable SAMA circulars and guidelines.</t>
  </si>
  <si>
    <t xml:space="preserve">Authorised Signatory</t>
  </si>
  <si>
    <t xml:space="preserve">Designation</t>
  </si>
  <si>
    <t xml:space="preserve">Date</t>
  </si>
  <si>
    <t xml:space="preserve">CAR-SA-01 — Summary: Capital Adequacy Ratios</t>
  </si>
  <si>
    <t xml:space="preserve">All figures in SAR '000 unless otherwise stated</t>
  </si>
  <si>
    <t xml:space="preserve">Bank Name:</t>
  </si>
  <si>
    <t xml:space="preserve">Metric</t>
  </si>
  <si>
    <t xml:space="preserve">Amount (SAR '000)</t>
  </si>
  <si>
    <t xml:space="preserve">RWA (SAR '000)</t>
  </si>
  <si>
    <t xml:space="preserve">Ratio (%)</t>
  </si>
  <si>
    <t xml:space="preserve">SAMA Minimum</t>
  </si>
  <si>
    <t xml:space="preserve">Common Equity Tier 1 (CET1) Capital</t>
  </si>
  <si>
    <t xml:space="preserve">7.00%</t>
  </si>
  <si>
    <t xml:space="preserve">Additional Tier 1 (AT1) Capital</t>
  </si>
  <si>
    <t xml:space="preserve">—</t>
  </si>
  <si>
    <t xml:space="preserve">Tier 1 Capital (CET1 + AT1)</t>
  </si>
  <si>
    <t xml:space="preserve">8.50%</t>
  </si>
  <si>
    <t xml:space="preserve">Tier 2 Capital</t>
  </si>
  <si>
    <t xml:space="preserve">Total Regulatory Capital (T1 + T2)</t>
  </si>
  <si>
    <t xml:space="preserve">10.50%</t>
  </si>
  <si>
    <t xml:space="preserve">Total Risk-Weighted Assets (RWA)</t>
  </si>
  <si>
    <t xml:space="preserve">  Capital Buffers</t>
  </si>
  <si>
    <t xml:space="preserve">Buffer</t>
  </si>
  <si>
    <t xml:space="preserve">Required (%)</t>
  </si>
  <si>
    <t xml:space="preserve">Held (%)</t>
  </si>
  <si>
    <t xml:space="preserve">Surplus / (Deficit)</t>
  </si>
  <si>
    <t xml:space="preserve">Status</t>
  </si>
  <si>
    <t xml:space="preserve">Capital Conservation Buffer (CCB)</t>
  </si>
  <si>
    <t xml:space="preserve">2.50%</t>
  </si>
  <si>
    <t xml:space="preserve">Countercyclical Capital Buffer (CCyB)</t>
  </si>
  <si>
    <t xml:space="preserve">0.00%</t>
  </si>
  <si>
    <t xml:space="preserve">D-SIB Surcharge (if applicable)</t>
  </si>
  <si>
    <t xml:space="preserve">1.00%</t>
  </si>
  <si>
    <t xml:space="preserve">Total Combined Buffer Requirement</t>
  </si>
  <si>
    <t xml:space="preserve">  Color legend:  Blue = Input (hardcoded)  |  Black = Formula  |  Green = Cross-sheet link  |  Yellow bg = Key assumption</t>
  </si>
  <si>
    <t xml:space="preserve">Schedule 1 — Regulatory Capital Composition</t>
  </si>
  <si>
    <t xml:space="preserve">All figures in SAR '000</t>
  </si>
  <si>
    <t xml:space="preserve">Line Item</t>
  </si>
  <si>
    <t xml:space="preserve">Gross Amount
(SAR '000)</t>
  </si>
  <si>
    <t xml:space="preserve">Regulatory
Adjustments</t>
  </si>
  <si>
    <t xml:space="preserve">Net Regulatory
Capital (SAR '000)</t>
  </si>
  <si>
    <t xml:space="preserve">  PART A — Common Equity Tier 1 (CET1) Capital</t>
  </si>
  <si>
    <t xml:space="preserve">  Paid-up ordinary share capital / common shares</t>
  </si>
  <si>
    <t xml:space="preserve">  Share premium (relating to CET1)</t>
  </si>
  <si>
    <t xml:space="preserve">  Retained earnings (prior year)</t>
  </si>
  <si>
    <t xml:space="preserve">  Current year profit attributable to shareholders (net of dividends)</t>
  </si>
  <si>
    <t xml:space="preserve">  Accumulated Other Comprehensive Income (AOCI)</t>
  </si>
  <si>
    <t xml:space="preserve">  Other disclosed reserves</t>
  </si>
  <si>
    <t xml:space="preserve">  Minority interest — eligible amount</t>
  </si>
  <si>
    <t xml:space="preserve">Sub-total: CET1 before regulatory adjustments</t>
  </si>
  <si>
    <t xml:space="preserve">  Regulatory Deductions from CET1</t>
  </si>
  <si>
    <t xml:space="preserve">  Goodwill (net of associated deferred tax liability)</t>
  </si>
  <si>
    <t xml:space="preserve">  Other intangible assets (net of associated deferred tax liability)</t>
  </si>
  <si>
    <t xml:space="preserve">  Deferred tax assets that rely on future profitability (excluding those from temporary differences)</t>
  </si>
  <si>
    <t xml:space="preserve">  Cash flow hedge reserve</t>
  </si>
  <si>
    <t xml:space="preserve">  Shortfall of provisions to expected losses (IRB banks only)</t>
  </si>
  <si>
    <t xml:space="preserve">  Securitisation gain on sale</t>
  </si>
  <si>
    <t xml:space="preserve">  Gains/losses due to changes in own credit risk on fair-valued liabilities</t>
  </si>
  <si>
    <t xml:space="preserve">  Defined benefit pension fund net assets</t>
  </si>
  <si>
    <t xml:space="preserve">  Investments in own CET1 instruments (treasury shares)</t>
  </si>
  <si>
    <t xml:space="preserve">  Reciprocal cross-holdings in CET1 of other financial institutions</t>
  </si>
  <si>
    <t xml:space="preserve">  Significant investments in CET1 of unconsolidated financial institutions (&gt;10%)</t>
  </si>
  <si>
    <t xml:space="preserve">  Non-significant investments in CET1 of financial institutions — amounts above 10% threshold</t>
  </si>
  <si>
    <t xml:space="preserve">  Mortgage servicing rights — amounts above 10% threshold</t>
  </si>
  <si>
    <t xml:space="preserve">  Deferred tax assets from temporary differences — amounts above 10% threshold</t>
  </si>
  <si>
    <t xml:space="preserve">  Amounts above 15% combined threshold</t>
  </si>
  <si>
    <t xml:space="preserve">  Other deductions as prescribed by SAMA</t>
  </si>
  <si>
    <t xml:space="preserve">Total Regulatory Deductions from CET1</t>
  </si>
  <si>
    <t xml:space="preserve">TOTAL CET1 CAPITAL (NET)</t>
  </si>
  <si>
    <t xml:space="preserve">  PART B — Additional Tier 1 (AT1) Capital</t>
  </si>
  <si>
    <t xml:space="preserve">  Qualifying AT1 instruments (Perpetual Sukuk / bonds meeting Basel III AT1 criteria)</t>
  </si>
  <si>
    <t xml:space="preserve">  Share premium relating to AT1 instruments</t>
  </si>
  <si>
    <t xml:space="preserve">  Less: Investments in own AT1 instruments</t>
  </si>
  <si>
    <t xml:space="preserve">  Less: Reciprocal cross-holdings in AT1 of other financial institutions</t>
  </si>
  <si>
    <t xml:space="preserve">  Less: Significant investments in AT1 of unconsolidated financial institutions</t>
  </si>
  <si>
    <t xml:space="preserve">  Other AT1 deductions as prescribed by SAMA</t>
  </si>
  <si>
    <t xml:space="preserve">TOTAL AT1 CAPITAL</t>
  </si>
  <si>
    <t xml:space="preserve">TOTAL TIER 1 CAPITAL (CET1 + AT1)</t>
  </si>
  <si>
    <t xml:space="preserve">  PART C — Tier 2 Capital</t>
  </si>
  <si>
    <t xml:space="preserve">  Qualifying Tier 2 instruments (Subordinated Sukuk / bonds — minimum 5 year maturity)</t>
  </si>
  <si>
    <t xml:space="preserve">  Share premium relating to Tier 2 instruments</t>
  </si>
  <si>
    <t xml:space="preserve">  General provisions / general loan-loss reserves (Standardized Approach — max 1.25% of credit RWA)</t>
  </si>
  <si>
    <t xml:space="preserve">  Excess of provisions over expected losses (eligible — IRB approach)</t>
  </si>
  <si>
    <t xml:space="preserve">  Less: Investments in own Tier 2 instruments</t>
  </si>
  <si>
    <t xml:space="preserve">  Less: Reciprocal cross-holdings in Tier 2 of other financial institutions</t>
  </si>
  <si>
    <t xml:space="preserve">  Less: Significant investments in Tier 2 of unconsolidated financial institutions</t>
  </si>
  <si>
    <t xml:space="preserve">  Other Tier 2 deductions as prescribed by SAMA</t>
  </si>
  <si>
    <t xml:space="preserve">TOTAL TIER 2 CAPITAL</t>
  </si>
  <si>
    <t xml:space="preserve">TOTAL REGULATORY CAPITAL (TIER 1 + TIER 2)</t>
  </si>
  <si>
    <t xml:space="preserve">Schedule 2 — Credit Risk Risk-Weighted Assets (Standardized Approach)</t>
  </si>
  <si>
    <t xml:space="preserve">Exposure Class</t>
  </si>
  <si>
    <t xml:space="preserve">On-Balance Sheet
Exposure (SAR '000)</t>
  </si>
  <si>
    <t xml:space="preserve">CCF
(%)</t>
  </si>
  <si>
    <t xml:space="preserve">Off-BS Equivalent
(SAR '000)</t>
  </si>
  <si>
    <t xml:space="preserve">Risk Weight
(%)</t>
  </si>
  <si>
    <t xml:space="preserve">Risk-Weighted
Assets (SAR '000)</t>
  </si>
  <si>
    <t xml:space="preserve">  A. On-Balance Sheet Exposures</t>
  </si>
  <si>
    <t xml:space="preserve">Claims on Saudi Government and SAMA</t>
  </si>
  <si>
    <t xml:space="preserve">Claims on Saudi Government — foreign currency</t>
  </si>
  <si>
    <t xml:space="preserve">Claims on GCC Governments (rated AAA to AA-)</t>
  </si>
  <si>
    <t xml:space="preserve">Claims on GCC Governments (rated A+ to A-)</t>
  </si>
  <si>
    <t xml:space="preserve">Claims on GCC Governments (rated BBB+ to B-)</t>
  </si>
  <si>
    <t xml:space="preserve">Claims on GCC Governments (unrated)</t>
  </si>
  <si>
    <t xml:space="preserve">Claims on other Sovereigns (rated AAA to AA-)</t>
  </si>
  <si>
    <t xml:space="preserve">Claims on other Sovereigns (rated A+ to A-)</t>
  </si>
  <si>
    <t xml:space="preserve">Claims on other Sovereigns (rated BBB+ to BB-)</t>
  </si>
  <si>
    <t xml:space="preserve">Claims on other Sovereigns (below BB- / unrated)</t>
  </si>
  <si>
    <t xml:space="preserve">Claims on Public Sector Entities (PSEs) — domestic</t>
  </si>
  <si>
    <t xml:space="preserve">Claims on Public Sector Entities (PSEs) — foreign</t>
  </si>
  <si>
    <t xml:space="preserve">Claims on Multilateral Development Banks (MDBs)</t>
  </si>
  <si>
    <t xml:space="preserve">Claims on Banks — short-term (&lt; 3 months)</t>
  </si>
  <si>
    <t xml:space="preserve">Claims on Banks — long-term (rated AAA to AA-)</t>
  </si>
  <si>
    <t xml:space="preserve">Claims on Banks — long-term (rated A+ to A-)</t>
  </si>
  <si>
    <t xml:space="preserve">Claims on Banks — long-term (rated BBB+ to BB-)</t>
  </si>
  <si>
    <t xml:space="preserve">Claims on Banks — long-term (below BB- / unrated)</t>
  </si>
  <si>
    <t xml:space="preserve">Claims on Securities Firms (equivalent to banks)</t>
  </si>
  <si>
    <t xml:space="preserve">Claims on Corporates (rated AAA to AA-)</t>
  </si>
  <si>
    <t xml:space="preserve">Claims on Corporates (rated A+ to A-)</t>
  </si>
  <si>
    <t xml:space="preserve">Claims on Corporates (rated BBB+ to BB-)</t>
  </si>
  <si>
    <t xml:space="preserve">Claims on Corporates (below BB- / unrated)</t>
  </si>
  <si>
    <t xml:space="preserve">Claims on SMEs — Corporate treatment</t>
  </si>
  <si>
    <t xml:space="preserve">Regulatory Retail Portfolio</t>
  </si>
  <si>
    <t xml:space="preserve">Retail SMEs (qualifying)</t>
  </si>
  <si>
    <t xml:space="preserve">Claims secured by Residential Real Estate (≤80% LTV)</t>
  </si>
  <si>
    <t xml:space="preserve">Claims secured by Residential Real Estate (&gt;80% LTV)</t>
  </si>
  <si>
    <t xml:space="preserve">Claims secured by Commercial Real Estate</t>
  </si>
  <si>
    <t xml:space="preserve">Past Due Loans — net of specific provisions (&lt;20% covered)</t>
  </si>
  <si>
    <t xml:space="preserve">Past Due Loans — net of specific provisions (≥20% covered)</t>
  </si>
  <si>
    <t xml:space="preserve">Higher Risk Categories (VC, speculative RE, etc.)</t>
  </si>
  <si>
    <t xml:space="preserve">Cash items and equivalents</t>
  </si>
  <si>
    <t xml:space="preserve">Gold bullion held in own vaults</t>
  </si>
  <si>
    <t xml:space="preserve">Fixed assets (property and equipment)</t>
  </si>
  <si>
    <t xml:space="preserve">Other assets</t>
  </si>
  <si>
    <t xml:space="preserve">Sub-Total: On-Balance Sheet RWA</t>
  </si>
  <si>
    <t xml:space="preserve">  B. Off-Balance Sheet Exposures</t>
  </si>
  <si>
    <t xml:space="preserve">Direct credit substitutes (e.g. financial guarantees)</t>
  </si>
  <si>
    <t xml:space="preserve">Trade finance — documentary credits (LCs, short-term)</t>
  </si>
  <si>
    <t xml:space="preserve">Trade finance — performance bonds / bid bonds</t>
  </si>
  <si>
    <t xml:space="preserve">Commitments with original maturity &gt; 1 year</t>
  </si>
  <si>
    <t xml:space="preserve">Commitments with original maturity ≤ 1 year (or revocable)</t>
  </si>
  <si>
    <t xml:space="preserve">Repurchase / reverse repo agreements</t>
  </si>
  <si>
    <t xml:space="preserve">Securities lending / borrowing</t>
  </si>
  <si>
    <t xml:space="preserve">Derivatives — Current Exposure Method (add-on)</t>
  </si>
  <si>
    <t xml:space="preserve">Other off-balance sheet items</t>
  </si>
  <si>
    <t xml:space="preserve">Sub-Total: Off-Balance Sheet RWA</t>
  </si>
  <si>
    <t xml:space="preserve">TOTAL CREDIT RISK RWA</t>
  </si>
  <si>
    <t xml:space="preserve">Schedule 3 — Market Risk Capital Charge (Standardized Approach)</t>
  </si>
  <si>
    <t xml:space="preserve">All figures in SAR '000  |  RWA = Capital Charge × 12.5</t>
  </si>
  <si>
    <t xml:space="preserve">Risk Sub-Type</t>
  </si>
  <si>
    <t xml:space="preserve">Net Position / Notional
(SAR '000)</t>
  </si>
  <si>
    <t xml:space="preserve">Capital Charge
Rate (%)</t>
  </si>
  <si>
    <t xml:space="preserve">Capital Charge
(SAR '000)</t>
  </si>
  <si>
    <t xml:space="preserve">  Interest Rate Risk</t>
  </si>
  <si>
    <t xml:space="preserve">Specific Risk — Government &amp; qualifying bonds</t>
  </si>
  <si>
    <t xml:space="preserve">Specific Risk — Other bonds (rated investment grade)</t>
  </si>
  <si>
    <t xml:space="preserve">Specific Risk — Other bonds (below investment grade)</t>
  </si>
  <si>
    <t xml:space="preserve">General Market Risk — Duration method</t>
  </si>
  <si>
    <t xml:space="preserve">Basis Risk add-on</t>
  </si>
  <si>
    <t xml:space="preserve">Yield Curve Risk add-on</t>
  </si>
  <si>
    <t xml:space="preserve">  Equity Risk</t>
  </si>
  <si>
    <t xml:space="preserve">Specific Risk — Individual equity positions</t>
  </si>
  <si>
    <t xml:space="preserve">General Market Risk — Net portfolio position</t>
  </si>
  <si>
    <t xml:space="preserve">  Foreign Exchange Risk</t>
  </si>
  <si>
    <t xml:space="preserve">Net open foreign exchange position (all currencies)</t>
  </si>
  <si>
    <t xml:space="preserve">Gold net open position</t>
  </si>
  <si>
    <t xml:space="preserve">  Commodities Risk</t>
  </si>
  <si>
    <t xml:space="preserve">Commodities — Simplified approach</t>
  </si>
  <si>
    <t xml:space="preserve">  Options Risk</t>
  </si>
  <si>
    <t xml:space="preserve">Options — Simplified approach / Delta-plus add-on</t>
  </si>
  <si>
    <t xml:space="preserve">TOTAL MARKET RISK CAPITAL CHARGE</t>
  </si>
  <si>
    <t xml:space="preserve">MARKET RISK RWA  (= Capital Charge × 12.5)</t>
  </si>
  <si>
    <t xml:space="preserve">Schedule 4 — Operational Risk Capital Charge (Standardized Approach)</t>
  </si>
  <si>
    <t xml:space="preserve">All figures in SAR '000  |  3-year average Gross Income per business line</t>
  </si>
  <si>
    <t xml:space="preserve">Business Line</t>
  </si>
  <si>
    <t xml:space="preserve">Gross Income
Year 1 (SAR '000)</t>
  </si>
  <si>
    <t xml:space="preserve">Gross Income
Year 2 (SAR '000)</t>
  </si>
  <si>
    <t xml:space="preserve">Gross Income
Year 3 (SAR '000)</t>
  </si>
  <si>
    <t xml:space="preserve">Beta
Factor (%)</t>
  </si>
  <si>
    <t xml:space="preserve">Corporate Finance</t>
  </si>
  <si>
    <t xml:space="preserve">Trading &amp; Sales</t>
  </si>
  <si>
    <t xml:space="preserve">Retail Banking</t>
  </si>
  <si>
    <t xml:space="preserve">Commercial Banking</t>
  </si>
  <si>
    <t xml:space="preserve">Payment &amp; Settlement</t>
  </si>
  <si>
    <t xml:space="preserve">Agency Services</t>
  </si>
  <si>
    <t xml:space="preserve">Asset Management</t>
  </si>
  <si>
    <t xml:space="preserve">Retail Brokerage</t>
  </si>
  <si>
    <t xml:space="preserve">TOTAL OPERATIONAL RISK CAPITAL CHARGE</t>
  </si>
  <si>
    <t xml:space="preserve">OPERATIONAL RISK RWA  (= Capital Charge × 12.5)</t>
  </si>
  <si>
    <t xml:space="preserve">Note: The Standardized Approach (TSA) requires SAMA's approval. Banks using the Basic Indicator Approach (BIA) apply a flat 15% beta to total gross income averaged over 3 years.</t>
  </si>
  <si>
    <t xml:space="preserve">Schedule 5 — Capital Buffers &amp; Combined Capital Requirement</t>
  </si>
  <si>
    <t xml:space="preserve">All ratios expressed as % of Total Risk-Weighted Assets</t>
  </si>
  <si>
    <t xml:space="preserve">  Total RWA (reference — from Schedules 2+3+4):</t>
  </si>
  <si>
    <t xml:space="preserve">Buffer / Requirement</t>
  </si>
  <si>
    <t xml:space="preserve">Minimum
Basel III (%)</t>
  </si>
  <si>
    <t xml:space="preserve">SAMA-Set
Rate (%)</t>
  </si>
  <si>
    <t xml:space="preserve">Bank's
Actual Ratio (%)</t>
  </si>
  <si>
    <t xml:space="preserve">Surplus /
(Deficit) (%)</t>
  </si>
  <si>
    <t xml:space="preserve">Pillar 1 Minimum — CET1</t>
  </si>
  <si>
    <t xml:space="preserve">Pillar 1 Minimum — Tier 1</t>
  </si>
  <si>
    <t xml:space="preserve">Pillar 1 Minimum — Total Capital</t>
  </si>
  <si>
    <t xml:space="preserve">D-SIB Surcharge (if designated by SAMA)</t>
  </si>
  <si>
    <t xml:space="preserve">Other SAMA-prescribed buffers</t>
  </si>
  <si>
    <t xml:space="preserve">TOTAL CET1 Requirement (incl. buffers)</t>
  </si>
  <si>
    <t xml:space="preserve">TOTAL Tier 1 Requirement (incl. buffers)</t>
  </si>
  <si>
    <t xml:space="preserve">TOTAL Total Capital Requirement (incl. buffers)</t>
  </si>
  <si>
    <t xml:space="preserve">  Capital Conservation Buffer — Dividend / Distribution Constraints</t>
  </si>
  <si>
    <t xml:space="preserve">CET1 Ratio Range (% of RWA)</t>
  </si>
  <si>
    <t xml:space="preserve">Minimum Capital
Conservation Ratio</t>
  </si>
  <si>
    <t xml:space="preserve">Maximum Dividend
Payout Ratio</t>
  </si>
  <si>
    <t xml:space="preserve">4.5% – 5.125%  (within first quartile of buffer)</t>
  </si>
  <si>
    <t xml:space="preserve">100%</t>
  </si>
  <si>
    <t xml:space="preserve">0%</t>
  </si>
  <si>
    <t xml:space="preserve">5.125% – 5.75%  (within second quartile of buffer)</t>
  </si>
  <si>
    <t xml:space="preserve">80%</t>
  </si>
  <si>
    <t xml:space="preserve">20%</t>
  </si>
  <si>
    <t xml:space="preserve">5.75% – 6.375%  (within third quartile of buffer)</t>
  </si>
  <si>
    <t xml:space="preserve">60%</t>
  </si>
  <si>
    <t xml:space="preserve">40%</t>
  </si>
  <si>
    <t xml:space="preserve">6.375% – 7.0%  (within fourth quartile of buffer)</t>
  </si>
  <si>
    <t xml:space="preserve">Above 7.0%  (full buffer maintained)</t>
  </si>
  <si>
    <t xml:space="preserve">No restriction</t>
  </si>
  <si>
    <t xml:space="preserve">Schedule 6 — Reconciliation: Regulatory Capital to Published Financial Statements</t>
  </si>
  <si>
    <t xml:space="preserve">Published
Financial Statements
(SAR '000)</t>
  </si>
  <si>
    <t xml:space="preserve">Regulatory
Adjustments
(SAR '000)</t>
  </si>
  <si>
    <t xml:space="preserve">Regulatory Capital
Figure (SAR '000)</t>
  </si>
  <si>
    <t xml:space="preserve">  Equity (per published balance sheet)</t>
  </si>
  <si>
    <t xml:space="preserve">Paid-up share capital</t>
  </si>
  <si>
    <t xml:space="preserve">Share premium</t>
  </si>
  <si>
    <t xml:space="preserve">Retained earnings</t>
  </si>
  <si>
    <t xml:space="preserve">Other comprehensive income / reserves</t>
  </si>
  <si>
    <t xml:space="preserve">Minority interests</t>
  </si>
  <si>
    <t xml:space="preserve">Total equity per financial statements</t>
  </si>
  <si>
    <t xml:space="preserve">Less: Goodwill and intangibles (net of deferred tax)</t>
  </si>
  <si>
    <t xml:space="preserve">Less: Deferred tax assets</t>
  </si>
  <si>
    <t xml:space="preserve">Less: Cash flow hedge reserve</t>
  </si>
  <si>
    <t xml:space="preserve">Less: Own shares (treasury stock)</t>
  </si>
  <si>
    <t xml:space="preserve">Less: Other regulatory deductions</t>
  </si>
  <si>
    <t xml:space="preserve">Plus: Eligible Tier 2 instruments</t>
  </si>
  <si>
    <t xml:space="preserve">Plus: General provisions (eligible amount)</t>
  </si>
  <si>
    <t xml:space="preserve">TOTAL REGULATORY CAPITAL (per Schedule 1)</t>
  </si>
  <si>
    <t xml:space="preserve">Difference (should be nil — reconciling items)</t>
  </si>
  <si>
    <t xml:space="preserve">  PART B — RWA RECONCILIATION</t>
  </si>
  <si>
    <t xml:space="preserve">RWA Component</t>
  </si>
  <si>
    <t xml:space="preserve">% of Total RWA</t>
  </si>
  <si>
    <t xml:space="preserve">Cross-reference</t>
  </si>
  <si>
    <t xml:space="preserve">Credit Risk RWA</t>
  </si>
  <si>
    <t xml:space="preserve">Schedule 2</t>
  </si>
  <si>
    <t xml:space="preserve">Market Risk RWA</t>
  </si>
  <si>
    <t xml:space="preserve">Schedule 3</t>
  </si>
  <si>
    <t xml:space="preserve">Operational Risk RWA</t>
  </si>
  <si>
    <t xml:space="preserve">Schedule 4</t>
  </si>
  <si>
    <t xml:space="preserve">TOTAL RWA</t>
  </si>
</sst>
</file>

<file path=xl/styles.xml><?xml version="1.0" encoding="utf-8"?>
<styleSheet xmlns="http://schemas.openxmlformats.org/spreadsheetml/2006/main">
  <numFmts count="5">
    <numFmt numFmtId="164" formatCode="General"/>
    <numFmt numFmtId="165" formatCode="#,##0;\(#,##0\);\-"/>
    <numFmt numFmtId="166" formatCode="0.0%;\(0.0%\);\-"/>
    <numFmt numFmtId="167" formatCode="0.0%;\(0.0%\);\-"/>
    <numFmt numFmtId="168" formatCode="0.0%"/>
  </numFmts>
  <fonts count="21">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10"/>
      <color rgb="FFFFFFFF"/>
      <name val="Arial"/>
      <family val="0"/>
      <charset val="1"/>
    </font>
    <font>
      <b val="true"/>
      <sz val="9"/>
      <color rgb="FF000000"/>
      <name val="Arial"/>
      <family val="0"/>
      <charset val="1"/>
    </font>
    <font>
      <sz val="9"/>
      <color rgb="FF0000FF"/>
      <name val="Arial"/>
      <family val="0"/>
      <charset val="1"/>
    </font>
    <font>
      <b val="true"/>
      <sz val="9"/>
      <color rgb="FFFFFFFF"/>
      <name val="Arial"/>
      <family val="0"/>
      <charset val="1"/>
    </font>
    <font>
      <i val="true"/>
      <sz val="8.5"/>
      <color rgb="FF000000"/>
      <name val="Arial"/>
      <family val="0"/>
      <charset val="1"/>
    </font>
    <font>
      <b val="true"/>
      <sz val="13"/>
      <color rgb="FFFFFFFF"/>
      <name val="Arial"/>
      <family val="0"/>
      <charset val="1"/>
    </font>
    <font>
      <i val="true"/>
      <sz val="8"/>
      <color rgb="FFFFFFFF"/>
      <name val="Arial"/>
      <family val="0"/>
      <charset val="1"/>
    </font>
    <font>
      <sz val="9"/>
      <color rgb="FF000000"/>
      <name val="Arial"/>
      <family val="0"/>
      <charset val="1"/>
    </font>
    <font>
      <sz val="9"/>
      <color rgb="FF008000"/>
      <name val="Arial"/>
      <family val="0"/>
      <charset val="1"/>
    </font>
    <font>
      <b val="true"/>
      <sz val="9"/>
      <color rgb="FF1B3A6B"/>
      <name val="Arial"/>
      <family val="0"/>
      <charset val="1"/>
    </font>
    <font>
      <i val="true"/>
      <sz val="7.5"/>
      <color rgb="FF444444"/>
      <name val="Arial"/>
      <family val="0"/>
      <charset val="1"/>
    </font>
    <font>
      <sz val="8.5"/>
      <color rgb="FF000000"/>
      <name val="Arial"/>
      <family val="0"/>
      <charset val="1"/>
    </font>
    <font>
      <sz val="8"/>
      <color rgb="FF000000"/>
      <name val="Arial"/>
      <family val="0"/>
      <charset val="1"/>
    </font>
    <font>
      <i val="true"/>
      <sz val="8"/>
      <color rgb="FF000000"/>
      <name val="Arial"/>
      <family val="0"/>
      <charset val="1"/>
    </font>
    <font>
      <b val="true"/>
      <sz val="9"/>
      <color rgb="FF008000"/>
      <name val="Arial"/>
      <family val="0"/>
      <charset val="1"/>
    </font>
    <font>
      <i val="true"/>
      <sz val="8"/>
      <color rgb="FF444444"/>
      <name val="Arial"/>
      <family val="0"/>
      <charset val="1"/>
    </font>
  </fonts>
  <fills count="10">
    <fill>
      <patternFill patternType="none"/>
    </fill>
    <fill>
      <patternFill patternType="gray125"/>
    </fill>
    <fill>
      <patternFill patternType="solid">
        <fgColor rgb="FF1B3A6B"/>
        <bgColor rgb="FF1A5276"/>
      </patternFill>
    </fill>
    <fill>
      <patternFill patternType="solid">
        <fgColor rgb="FF1B6CA8"/>
        <bgColor rgb="FF2E86C1"/>
      </patternFill>
    </fill>
    <fill>
      <patternFill patternType="solid">
        <fgColor rgb="FFD6E4F0"/>
        <bgColor rgb="FFD9E1F2"/>
      </patternFill>
    </fill>
    <fill>
      <patternFill patternType="solid">
        <fgColor rgb="FFFFFF00"/>
        <bgColor rgb="FFFFFF00"/>
      </patternFill>
    </fill>
    <fill>
      <patternFill patternType="solid">
        <fgColor rgb="FFF2F2F2"/>
        <bgColor rgb="FFEAF4FB"/>
      </patternFill>
    </fill>
    <fill>
      <patternFill patternType="solid">
        <fgColor rgb="FFEAF4FB"/>
        <bgColor rgb="FFF2F2F2"/>
      </patternFill>
    </fill>
    <fill>
      <patternFill patternType="solid">
        <fgColor rgb="FFD9E1F2"/>
        <bgColor rgb="FFD6E4F0"/>
      </patternFill>
    </fill>
    <fill>
      <patternFill patternType="solid">
        <fgColor rgb="FFF9F9F9"/>
        <bgColor rgb="FFFFFFFF"/>
      </patternFill>
    </fill>
  </fills>
  <borders count="6">
    <border diagonalUp="false" diagonalDown="false">
      <left/>
      <right/>
      <top/>
      <bottom/>
      <diagonal/>
    </border>
    <border diagonalUp="false" diagonalDown="false">
      <left style="thin">
        <color rgb="FFB0BEC5"/>
      </left>
      <right style="thin">
        <color rgb="FFB0BEC5"/>
      </right>
      <top style="thin">
        <color rgb="FFB0BEC5"/>
      </top>
      <bottom style="thin">
        <color rgb="FFB0BEC5"/>
      </bottom>
      <diagonal/>
    </border>
    <border diagonalUp="false" diagonalDown="false">
      <left style="thin">
        <color rgb="FF888888"/>
      </left>
      <right style="thin">
        <color rgb="FF888888"/>
      </right>
      <top style="thin">
        <color rgb="FF888888"/>
      </top>
      <bottom style="thin">
        <color rgb="FF888888"/>
      </bottom>
      <diagonal/>
    </border>
    <border diagonalUp="false" diagonalDown="false">
      <left style="thin">
        <color rgb="FF888888"/>
      </left>
      <right/>
      <top style="thin">
        <color rgb="FF888888"/>
      </top>
      <bottom style="thin">
        <color rgb="FF888888"/>
      </bottom>
      <diagonal/>
    </border>
    <border diagonalUp="false" diagonalDown="false">
      <left style="thin">
        <color rgb="FF1B3A6B"/>
      </left>
      <right style="thin">
        <color rgb="FF1B3A6B"/>
      </right>
      <top style="thin">
        <color rgb="FF1B3A6B"/>
      </top>
      <bottom style="thin">
        <color rgb="FF1B3A6B"/>
      </bottom>
      <diagonal/>
    </border>
    <border diagonalUp="false" diagonalDown="false">
      <left style="thin">
        <color rgb="FFB0BEC5"/>
      </left>
      <right/>
      <top style="thin">
        <color rgb="FFB0BEC5"/>
      </top>
      <bottom style="thin">
        <color rgb="FFB0BEC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left" vertical="center" textRotation="0" wrapText="false" indent="0" shrinkToFit="false"/>
      <protection locked="true" hidden="false"/>
    </xf>
    <xf numFmtId="164" fontId="7" fillId="5" borderId="1" xfId="0" applyFont="true" applyBorder="true" applyAlignment="true" applyProtection="false">
      <alignment horizontal="general" vertical="bottom" textRotation="0" wrapText="false" indent="0" shrinkToFit="false"/>
      <protection locked="true" hidden="false"/>
    </xf>
    <xf numFmtId="164" fontId="8" fillId="2" borderId="0" xfId="0" applyFont="true" applyBorder="true" applyAlignment="true" applyProtection="false">
      <alignment horizontal="center" vertical="center" textRotation="0" wrapText="false" indent="0" shrinkToFit="false"/>
      <protection locked="true" hidden="false"/>
    </xf>
    <xf numFmtId="164" fontId="9" fillId="6" borderId="0" xfId="0" applyFont="true" applyBorder="true" applyAlignment="true" applyProtection="false">
      <alignment horizontal="left"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0" fillId="5" borderId="1" xfId="0" applyFont="false" applyBorder="true" applyAlignment="true" applyProtection="false">
      <alignment horizontal="general" vertical="bottom" textRotation="0" wrapText="false" indent="0" shrinkToFit="false"/>
      <protection locked="true" hidden="false"/>
    </xf>
    <xf numFmtId="164" fontId="10" fillId="2" borderId="0" xfId="0" applyFont="true" applyBorder="true" applyAlignment="true" applyProtection="false">
      <alignment horizontal="center" vertical="center" textRotation="0" wrapText="false" indent="0" shrinkToFit="false"/>
      <protection locked="true" hidden="false"/>
    </xf>
    <xf numFmtId="164" fontId="11" fillId="3" borderId="0" xfId="0" applyFont="true" applyBorder="true" applyAlignment="true" applyProtection="false">
      <alignment horizontal="center" vertical="center" textRotation="0" wrapText="false" indent="0" shrinkToFit="false"/>
      <protection locked="true" hidden="false"/>
    </xf>
    <xf numFmtId="164" fontId="6" fillId="4" borderId="0" xfId="0" applyFont="true" applyBorder="true" applyAlignment="true" applyProtection="false">
      <alignment horizontal="general" vertical="bottom" textRotation="0" wrapText="false" indent="0" shrinkToFit="false"/>
      <protection locked="true" hidden="false"/>
    </xf>
    <xf numFmtId="164" fontId="6" fillId="5" borderId="0" xfId="0" applyFont="true" applyBorder="false" applyAlignment="true" applyProtection="false">
      <alignment horizontal="general" vertical="bottom" textRotation="0" wrapText="false" indent="0" shrinkToFit="false"/>
      <protection locked="true" hidden="false"/>
    </xf>
    <xf numFmtId="164" fontId="0" fillId="5" borderId="0" xfId="0" applyFont="false" applyBorder="false" applyAlignment="true" applyProtection="false">
      <alignment horizontal="general" vertical="bottom" textRotation="0" wrapText="false" indent="0" shrinkToFit="false"/>
      <protection locked="true" hidden="false"/>
    </xf>
    <xf numFmtId="164" fontId="8" fillId="2" borderId="2" xfId="0" applyFont="true" applyBorder="true" applyAlignment="true" applyProtection="false">
      <alignment horizontal="center" vertical="center" textRotation="0" wrapText="false" indent="0" shrinkToFit="false"/>
      <protection locked="true" hidden="false"/>
    </xf>
    <xf numFmtId="164" fontId="12" fillId="4" borderId="1" xfId="0" applyFont="true" applyBorder="true" applyAlignment="true" applyProtection="false">
      <alignment horizontal="left" vertical="center" textRotation="0" wrapText="false" indent="0" shrinkToFit="false"/>
      <protection locked="true" hidden="false"/>
    </xf>
    <xf numFmtId="165" fontId="13" fillId="4" borderId="1" xfId="0" applyFont="true" applyBorder="true" applyAlignment="true" applyProtection="false">
      <alignment horizontal="right" vertical="center" textRotation="0" wrapText="false" indent="0" shrinkToFit="false"/>
      <protection locked="true" hidden="false"/>
    </xf>
    <xf numFmtId="166" fontId="12" fillId="4" borderId="1" xfId="0" applyFont="true" applyBorder="true" applyAlignment="true" applyProtection="false">
      <alignment horizontal="right" vertical="center" textRotation="0" wrapText="false" indent="0" shrinkToFit="false"/>
      <protection locked="true" hidden="false"/>
    </xf>
    <xf numFmtId="164" fontId="14" fillId="4" borderId="1" xfId="0" applyFont="true" applyBorder="true" applyAlignment="true" applyProtection="false">
      <alignment horizontal="center" vertical="center" textRotation="0" wrapText="false" indent="0" shrinkToFit="false"/>
      <protection locked="true" hidden="false"/>
    </xf>
    <xf numFmtId="164" fontId="12" fillId="7" borderId="1" xfId="0" applyFont="true" applyBorder="true" applyAlignment="true" applyProtection="false">
      <alignment horizontal="left" vertical="center" textRotation="0" wrapText="false" indent="0" shrinkToFit="false"/>
      <protection locked="true" hidden="false"/>
    </xf>
    <xf numFmtId="165" fontId="13" fillId="7" borderId="1" xfId="0" applyFont="true" applyBorder="true" applyAlignment="true" applyProtection="false">
      <alignment horizontal="right" vertical="center" textRotation="0" wrapText="false" indent="0" shrinkToFit="false"/>
      <protection locked="true" hidden="false"/>
    </xf>
    <xf numFmtId="164" fontId="12" fillId="7" borderId="1" xfId="0" applyFont="true" applyBorder="true" applyAlignment="true" applyProtection="false">
      <alignment horizontal="right" vertical="center" textRotation="0" wrapText="false" indent="0" shrinkToFit="false"/>
      <protection locked="true" hidden="false"/>
    </xf>
    <xf numFmtId="164" fontId="6" fillId="7" borderId="1" xfId="0" applyFont="true" applyBorder="true" applyAlignment="true" applyProtection="false">
      <alignment horizontal="center" vertical="center" textRotation="0" wrapText="false" indent="0" shrinkToFit="false"/>
      <protection locked="true" hidden="false"/>
    </xf>
    <xf numFmtId="164" fontId="12" fillId="4" borderId="1" xfId="0" applyFont="true" applyBorder="true" applyAlignment="true" applyProtection="false">
      <alignment horizontal="right" vertical="center" textRotation="0" wrapText="false" indent="0" shrinkToFit="false"/>
      <protection locked="true" hidden="false"/>
    </xf>
    <xf numFmtId="164" fontId="6" fillId="7" borderId="1" xfId="0" applyFont="true" applyBorder="true" applyAlignment="true" applyProtection="false">
      <alignment horizontal="left" vertical="center" textRotation="0" wrapText="false" indent="0" shrinkToFit="false"/>
      <protection locked="true" hidden="false"/>
    </xf>
    <xf numFmtId="164" fontId="8" fillId="3" borderId="3" xfId="0" applyFont="true" applyBorder="true" applyAlignment="true" applyProtection="false">
      <alignment horizontal="left" vertical="center" textRotation="0" wrapText="false" indent="0" shrinkToFit="false"/>
      <protection locked="true" hidden="false"/>
    </xf>
    <xf numFmtId="164" fontId="12" fillId="4" borderId="1" xfId="0" applyFont="true" applyBorder="true" applyAlignment="true" applyProtection="false">
      <alignment horizontal="general" vertical="bottom" textRotation="0" wrapText="false" indent="0" shrinkToFit="false"/>
      <protection locked="true" hidden="false"/>
    </xf>
    <xf numFmtId="166" fontId="7" fillId="5" borderId="1" xfId="0" applyFont="true" applyBorder="true" applyAlignment="true" applyProtection="false">
      <alignment horizontal="right" vertical="center" textRotation="0" wrapText="false" indent="0" shrinkToFit="false"/>
      <protection locked="true" hidden="false"/>
    </xf>
    <xf numFmtId="166" fontId="7" fillId="5" borderId="1" xfId="0" applyFont="true" applyBorder="true" applyAlignment="true" applyProtection="false">
      <alignment horizontal="general" vertical="bottom" textRotation="0" wrapText="false" indent="0" shrinkToFit="false"/>
      <protection locked="true" hidden="false"/>
    </xf>
    <xf numFmtId="164" fontId="12" fillId="4" borderId="1" xfId="0" applyFont="true" applyBorder="true" applyAlignment="true" applyProtection="false">
      <alignment horizontal="center" vertical="center" textRotation="0" wrapText="false" indent="0" shrinkToFit="false"/>
      <protection locked="true" hidden="false"/>
    </xf>
    <xf numFmtId="164" fontId="12" fillId="7" borderId="1" xfId="0" applyFont="true" applyBorder="true" applyAlignment="true" applyProtection="false">
      <alignment horizontal="general" vertical="bottom" textRotation="0" wrapText="false" indent="0" shrinkToFit="false"/>
      <protection locked="true" hidden="false"/>
    </xf>
    <xf numFmtId="166" fontId="12" fillId="7" borderId="1" xfId="0" applyFont="true" applyBorder="true" applyAlignment="true" applyProtection="false">
      <alignment horizontal="right" vertical="center" textRotation="0" wrapText="false" indent="0" shrinkToFit="false"/>
      <protection locked="true" hidden="false"/>
    </xf>
    <xf numFmtId="164" fontId="12" fillId="7" borderId="1" xfId="0" applyFont="true" applyBorder="true" applyAlignment="true" applyProtection="false">
      <alignment horizontal="center" vertical="center" textRotation="0" wrapText="false" indent="0" shrinkToFit="false"/>
      <protection locked="true" hidden="false"/>
    </xf>
    <xf numFmtId="164" fontId="6" fillId="8" borderId="1" xfId="0" applyFont="true" applyBorder="true" applyAlignment="true" applyProtection="false">
      <alignment horizontal="general" vertical="bottom" textRotation="0" wrapText="false" indent="0" shrinkToFit="false"/>
      <protection locked="true" hidden="false"/>
    </xf>
    <xf numFmtId="167" fontId="6" fillId="8" borderId="1" xfId="0" applyFont="true" applyBorder="true" applyAlignment="true" applyProtection="false">
      <alignment horizontal="right" vertical="center" textRotation="0" wrapText="false" indent="0" shrinkToFit="false"/>
      <protection locked="true" hidden="false"/>
    </xf>
    <xf numFmtId="166" fontId="12" fillId="8" borderId="1" xfId="0" applyFont="true" applyBorder="true" applyAlignment="true" applyProtection="false">
      <alignment horizontal="general" vertical="bottom" textRotation="0" wrapText="false" indent="0" shrinkToFit="false"/>
      <protection locked="true" hidden="false"/>
    </xf>
    <xf numFmtId="164" fontId="6" fillId="8" borderId="1" xfId="0" applyFont="true" applyBorder="true" applyAlignment="true" applyProtection="false">
      <alignment horizontal="right" vertical="center" textRotation="0" wrapText="false" indent="0" shrinkToFit="false"/>
      <protection locked="true" hidden="false"/>
    </xf>
    <xf numFmtId="164" fontId="12" fillId="8" borderId="1" xfId="0" applyFont="true" applyBorder="true" applyAlignment="true" applyProtection="false">
      <alignment horizontal="center" vertical="center" textRotation="0" wrapText="false" indent="0" shrinkToFit="false"/>
      <protection locked="true" hidden="false"/>
    </xf>
    <xf numFmtId="164" fontId="15" fillId="9" borderId="0" xfId="0" applyFont="true" applyBorder="true" applyAlignment="true" applyProtection="false">
      <alignment horizontal="left" vertical="center" textRotation="0" wrapText="false" indent="0" shrinkToFit="false"/>
      <protection locked="true" hidden="false"/>
    </xf>
    <xf numFmtId="164" fontId="8" fillId="2" borderId="3" xfId="0" applyFont="true" applyBorder="true" applyAlignment="true" applyProtection="false">
      <alignment horizontal="left" vertical="center" textRotation="0" wrapText="false" indent="0" shrinkToFit="false"/>
      <protection locked="true" hidden="false"/>
    </xf>
    <xf numFmtId="164" fontId="7" fillId="5" borderId="1" xfId="0" applyFont="true" applyBorder="true" applyAlignment="true" applyProtection="false">
      <alignment horizontal="right" vertical="center" textRotation="0" wrapText="false" indent="0" shrinkToFit="false"/>
      <protection locked="true" hidden="false"/>
    </xf>
    <xf numFmtId="165" fontId="12" fillId="4" borderId="1" xfId="0" applyFont="true" applyBorder="true" applyAlignment="true" applyProtection="false">
      <alignment horizontal="right" vertical="center" textRotation="0" wrapText="false" indent="0" shrinkToFit="false"/>
      <protection locked="true" hidden="false"/>
    </xf>
    <xf numFmtId="165" fontId="12" fillId="7" borderId="1" xfId="0" applyFont="true" applyBorder="true" applyAlignment="true" applyProtection="false">
      <alignment horizontal="right" vertical="center" textRotation="0" wrapText="false" indent="0" shrinkToFit="false"/>
      <protection locked="true" hidden="false"/>
    </xf>
    <xf numFmtId="164" fontId="6" fillId="8" borderId="4" xfId="0" applyFont="true" applyBorder="true" applyAlignment="true" applyProtection="false">
      <alignment horizontal="left" vertical="center" textRotation="0" wrapText="false" indent="0" shrinkToFit="false"/>
      <protection locked="true" hidden="false"/>
    </xf>
    <xf numFmtId="165" fontId="6" fillId="8" borderId="4" xfId="0" applyFont="true" applyBorder="true" applyAlignment="true" applyProtection="false">
      <alignment horizontal="right" vertical="center" textRotation="0" wrapText="false" indent="0" shrinkToFit="false"/>
      <protection locked="true" hidden="false"/>
    </xf>
    <xf numFmtId="165" fontId="6" fillId="8" borderId="4" xfId="0" applyFont="true" applyBorder="true" applyAlignment="true" applyProtection="false">
      <alignment horizontal="left" vertical="center" textRotation="0" wrapText="false" indent="0" shrinkToFit="false"/>
      <protection locked="true" hidden="false"/>
    </xf>
    <xf numFmtId="164" fontId="16" fillId="4" borderId="1" xfId="0" applyFont="true" applyBorder="true" applyAlignment="true" applyProtection="false">
      <alignment horizontal="left" vertical="center" textRotation="0" wrapText="true" indent="0" shrinkToFit="false"/>
      <protection locked="true" hidden="false"/>
    </xf>
    <xf numFmtId="165" fontId="7" fillId="5" borderId="1" xfId="0" applyFont="true" applyBorder="true" applyAlignment="true" applyProtection="false">
      <alignment horizontal="right" vertical="center" textRotation="0" wrapText="false" indent="0" shrinkToFit="false"/>
      <protection locked="true" hidden="false"/>
    </xf>
    <xf numFmtId="164" fontId="17" fillId="4" borderId="1" xfId="0" applyFont="true" applyBorder="true" applyAlignment="true" applyProtection="false">
      <alignment horizontal="center" vertical="center" textRotation="0" wrapText="false" indent="0" shrinkToFit="false"/>
      <protection locked="true" hidden="false"/>
    </xf>
    <xf numFmtId="168" fontId="7" fillId="5" borderId="1" xfId="0" applyFont="true" applyBorder="true" applyAlignment="true" applyProtection="false">
      <alignment horizontal="right" vertical="center" textRotation="0" wrapText="false" indent="0" shrinkToFit="false"/>
      <protection locked="true" hidden="false"/>
    </xf>
    <xf numFmtId="164" fontId="16" fillId="7" borderId="1" xfId="0" applyFont="true" applyBorder="true" applyAlignment="true" applyProtection="false">
      <alignment horizontal="left" vertical="center" textRotation="0" wrapText="true" indent="0" shrinkToFit="false"/>
      <protection locked="true" hidden="false"/>
    </xf>
    <xf numFmtId="164" fontId="17" fillId="7" borderId="1" xfId="0" applyFont="true" applyBorder="true" applyAlignment="true" applyProtection="false">
      <alignment horizontal="center" vertical="center" textRotation="0" wrapText="false" indent="0" shrinkToFit="false"/>
      <protection locked="true" hidden="false"/>
    </xf>
    <xf numFmtId="164" fontId="7" fillId="6" borderId="1" xfId="0" applyFont="true" applyBorder="true" applyAlignment="true" applyProtection="false">
      <alignment horizontal="right" vertical="center" textRotation="0" wrapText="false" indent="0" shrinkToFit="false"/>
      <protection locked="true" hidden="false"/>
    </xf>
    <xf numFmtId="164" fontId="18" fillId="6" borderId="0" xfId="0" applyFont="true" applyBorder="true" applyAlignment="true" applyProtection="false">
      <alignment horizontal="left" vertical="bottom" textRotation="0" wrapText="true" indent="0" shrinkToFit="false"/>
      <protection locked="true" hidden="false"/>
    </xf>
    <xf numFmtId="164" fontId="6" fillId="4" borderId="5" xfId="0" applyFont="true" applyBorder="true" applyAlignment="true" applyProtection="false">
      <alignment horizontal="general" vertical="bottom" textRotation="0" wrapText="false" indent="0" shrinkToFit="false"/>
      <protection locked="true" hidden="false"/>
    </xf>
    <xf numFmtId="166" fontId="13" fillId="4" borderId="1" xfId="0" applyFont="true" applyBorder="true" applyAlignment="true" applyProtection="false">
      <alignment horizontal="right" vertical="center" textRotation="0" wrapText="false" indent="0" shrinkToFit="false"/>
      <protection locked="true" hidden="false"/>
    </xf>
    <xf numFmtId="167" fontId="12" fillId="4" borderId="1" xfId="0" applyFont="true" applyBorder="true" applyAlignment="true" applyProtection="false">
      <alignment horizontal="right" vertical="center" textRotation="0" wrapText="false" indent="0" shrinkToFit="false"/>
      <protection locked="true" hidden="false"/>
    </xf>
    <xf numFmtId="166" fontId="13" fillId="7" borderId="1" xfId="0" applyFont="true" applyBorder="true" applyAlignment="true" applyProtection="false">
      <alignment horizontal="right" vertical="center" textRotation="0" wrapText="false" indent="0" shrinkToFit="false"/>
      <protection locked="true" hidden="false"/>
    </xf>
    <xf numFmtId="167" fontId="12" fillId="7" borderId="1" xfId="0" applyFont="true" applyBorder="true" applyAlignment="true" applyProtection="false">
      <alignment horizontal="right" vertical="center" textRotation="0" wrapText="false" indent="0" shrinkToFit="false"/>
      <protection locked="true" hidden="false"/>
    </xf>
    <xf numFmtId="166" fontId="7" fillId="7" borderId="1" xfId="0" applyFont="true" applyBorder="true" applyAlignment="true" applyProtection="false">
      <alignment horizontal="right" vertical="center" textRotation="0" wrapText="false" indent="0" shrinkToFit="false"/>
      <protection locked="true" hidden="false"/>
    </xf>
    <xf numFmtId="166" fontId="7" fillId="4" borderId="1" xfId="0" applyFont="true" applyBorder="true" applyAlignment="true" applyProtection="false">
      <alignment horizontal="right" vertical="center" textRotation="0" wrapText="false" indent="0" shrinkToFit="false"/>
      <protection locked="true" hidden="false"/>
    </xf>
    <xf numFmtId="166" fontId="12" fillId="8" borderId="1" xfId="0" applyFont="true" applyBorder="true" applyAlignment="true" applyProtection="false">
      <alignment horizontal="right" vertical="center" textRotation="0" wrapText="false" indent="0" shrinkToFit="false"/>
      <protection locked="true" hidden="false"/>
    </xf>
    <xf numFmtId="166" fontId="19" fillId="8" borderId="1" xfId="0" applyFont="true" applyBorder="true" applyAlignment="true" applyProtection="false">
      <alignment horizontal="right" vertical="center" textRotation="0" wrapText="false" indent="0" shrinkToFit="false"/>
      <protection locked="true" hidden="false"/>
    </xf>
    <xf numFmtId="166" fontId="6" fillId="8" borderId="1" xfId="0" applyFont="true" applyBorder="true" applyAlignment="true" applyProtection="false">
      <alignment horizontal="right" vertical="center" textRotation="0" wrapText="false" indent="0" shrinkToFit="false"/>
      <protection locked="true" hidden="false"/>
    </xf>
    <xf numFmtId="165" fontId="6" fillId="8" borderId="1" xfId="0" applyFont="true" applyBorder="true" applyAlignment="true" applyProtection="false">
      <alignment horizontal="right" vertical="center" textRotation="0" wrapText="false" indent="0" shrinkToFit="false"/>
      <protection locked="true" hidden="false"/>
    </xf>
    <xf numFmtId="164" fontId="20" fillId="4" borderId="1" xfId="0" applyFont="true" applyBorder="true" applyAlignment="true" applyProtection="false">
      <alignment horizontal="general" vertical="bottom" textRotation="0" wrapText="false" indent="0" shrinkToFit="false"/>
      <protection locked="true" hidden="false"/>
    </xf>
    <xf numFmtId="164" fontId="20" fillId="7" borderId="1" xfId="0" applyFont="true" applyBorder="true" applyAlignment="true" applyProtection="false">
      <alignment horizontal="general" vertical="bottom" textRotation="0" wrapText="false" indent="0" shrinkToFit="false"/>
      <protection locked="true" hidden="false"/>
    </xf>
    <xf numFmtId="166" fontId="6" fillId="8" borderId="4" xfId="0" applyFont="true" applyBorder="tru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B7770D"/>
      <rgbColor rgb="FF800080"/>
      <rgbColor rgb="FF117A65"/>
      <rgbColor rgb="FFB0BEC5"/>
      <rgbColor rgb="FF888888"/>
      <rgbColor rgb="FF9999FF"/>
      <rgbColor rgb="FF6E2F8E"/>
      <rgbColor rgb="FFF9F9F9"/>
      <rgbColor rgb="FFEAF4FB"/>
      <rgbColor rgb="FF660066"/>
      <rgbColor rgb="FFFF8080"/>
      <rgbColor rgb="FF1B6CA8"/>
      <rgbColor rgb="FFD9E1F2"/>
      <rgbColor rgb="FF000080"/>
      <rgbColor rgb="FFFF00FF"/>
      <rgbColor rgb="FFFFFF00"/>
      <rgbColor rgb="FF00FFFF"/>
      <rgbColor rgb="FF800080"/>
      <rgbColor rgb="FF800000"/>
      <rgbColor rgb="FF008080"/>
      <rgbColor rgb="FF0000FF"/>
      <rgbColor rgb="FF00CCFF"/>
      <rgbColor rgb="FFD6E4F0"/>
      <rgbColor rgb="FFF2F2F2"/>
      <rgbColor rgb="FFFFFF99"/>
      <rgbColor rgb="FF99CCFF"/>
      <rgbColor rgb="FFFF99CC"/>
      <rgbColor rgb="FFCC99FF"/>
      <rgbColor rgb="FFFFCC99"/>
      <rgbColor rgb="FF2E86C1"/>
      <rgbColor rgb="FF33CCCC"/>
      <rgbColor rgb="FF99CC00"/>
      <rgbColor rgb="FFFFCC00"/>
      <rgbColor rgb="FFFF9900"/>
      <rgbColor rgb="FFFF6600"/>
      <rgbColor rgb="FF666699"/>
      <rgbColor rgb="FF969696"/>
      <rgbColor rgb="FF1B3A6B"/>
      <rgbColor rgb="FF339966"/>
      <rgbColor rgb="FF003300"/>
      <rgbColor rgb="FF333300"/>
      <rgbColor rgb="FF922B21"/>
      <rgbColor rgb="FF993366"/>
      <rgbColor rgb="FF1A5276"/>
      <rgbColor rgb="FF4444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3A6B"/>
    <pageSetUpPr fitToPage="false"/>
  </sheetPr>
  <dimension ref="B2:D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
    <col collapsed="false" customWidth="true" hidden="false" outlineLevel="0" max="2" min="2" style="1" width="28"/>
    <col collapsed="false" customWidth="true" hidden="false" outlineLevel="0" max="3" min="3" style="1" width="35"/>
    <col collapsed="false" customWidth="true" hidden="false" outlineLevel="0" max="4" min="4" style="1" width="28"/>
    <col collapsed="false" customWidth="true" hidden="false" outlineLevel="0" max="5" min="5" style="1" width="2"/>
  </cols>
  <sheetData>
    <row r="2" customFormat="false" ht="33.75" hidden="false" customHeight="true" outlineLevel="0" collapsed="false">
      <c r="B2" s="2" t="s">
        <v>0</v>
      </c>
      <c r="C2" s="2"/>
      <c r="D2" s="2"/>
    </row>
    <row r="3" customFormat="false" ht="18" hidden="false" customHeight="true" outlineLevel="0" collapsed="false">
      <c r="B3" s="3" t="s">
        <v>1</v>
      </c>
      <c r="C3" s="3"/>
      <c r="D3" s="3"/>
    </row>
    <row r="5" customFormat="false" ht="18" hidden="false" customHeight="true" outlineLevel="0" collapsed="false">
      <c r="B5" s="4" t="s">
        <v>2</v>
      </c>
      <c r="C5" s="5"/>
    </row>
    <row r="6" customFormat="false" ht="18" hidden="false" customHeight="true" outlineLevel="0" collapsed="false">
      <c r="B6" s="4" t="s">
        <v>3</v>
      </c>
      <c r="C6" s="5"/>
    </row>
    <row r="7" customFormat="false" ht="18" hidden="false" customHeight="true" outlineLevel="0" collapsed="false">
      <c r="B7" s="4" t="s">
        <v>4</v>
      </c>
      <c r="C7" s="5" t="s">
        <v>5</v>
      </c>
    </row>
    <row r="8" customFormat="false" ht="18" hidden="false" customHeight="true" outlineLevel="0" collapsed="false">
      <c r="B8" s="4" t="s">
        <v>6</v>
      </c>
      <c r="C8" s="5" t="s">
        <v>7</v>
      </c>
    </row>
    <row r="9" customFormat="false" ht="18" hidden="false" customHeight="true" outlineLevel="0" collapsed="false">
      <c r="B9" s="4" t="s">
        <v>8</v>
      </c>
      <c r="C9" s="5" t="s">
        <v>7</v>
      </c>
    </row>
    <row r="10" customFormat="false" ht="18" hidden="false" customHeight="true" outlineLevel="0" collapsed="false">
      <c r="B10" s="4" t="s">
        <v>9</v>
      </c>
      <c r="C10" s="5"/>
    </row>
    <row r="11" customFormat="false" ht="18" hidden="false" customHeight="true" outlineLevel="0" collapsed="false">
      <c r="B11" s="4" t="s">
        <v>10</v>
      </c>
      <c r="C11" s="5"/>
    </row>
    <row r="12" customFormat="false" ht="18" hidden="false" customHeight="true" outlineLevel="0" collapsed="false">
      <c r="B12" s="4" t="s">
        <v>11</v>
      </c>
      <c r="C12" s="5"/>
    </row>
    <row r="13" customFormat="false" ht="18" hidden="false" customHeight="true" outlineLevel="0" collapsed="false">
      <c r="B13" s="4" t="s">
        <v>12</v>
      </c>
      <c r="C13" s="5" t="s">
        <v>13</v>
      </c>
    </row>
    <row r="14" customFormat="false" ht="18" hidden="false" customHeight="true" outlineLevel="0" collapsed="false">
      <c r="B14" s="4" t="s">
        <v>14</v>
      </c>
      <c r="C14" s="5" t="s">
        <v>15</v>
      </c>
    </row>
    <row r="16" customFormat="false" ht="15.75" hidden="false" customHeight="true" outlineLevel="0" collapsed="false">
      <c r="B16" s="6" t="s">
        <v>16</v>
      </c>
      <c r="C16" s="6"/>
      <c r="D16" s="6"/>
    </row>
    <row r="17" customFormat="false" ht="31.5" hidden="false" customHeight="true" outlineLevel="0" collapsed="false">
      <c r="B17" s="7" t="s">
        <v>17</v>
      </c>
      <c r="C17" s="7"/>
      <c r="D17" s="7"/>
    </row>
    <row r="18" customFormat="false" ht="13.5" hidden="false" customHeight="true" outlineLevel="0" collapsed="false">
      <c r="B18" s="7"/>
      <c r="C18" s="7"/>
      <c r="D18" s="7"/>
    </row>
    <row r="20" customFormat="false" ht="18" hidden="false" customHeight="true" outlineLevel="0" collapsed="false">
      <c r="B20" s="8" t="s">
        <v>18</v>
      </c>
      <c r="C20" s="9"/>
    </row>
    <row r="21" customFormat="false" ht="18" hidden="false" customHeight="true" outlineLevel="0" collapsed="false">
      <c r="B21" s="8" t="s">
        <v>19</v>
      </c>
      <c r="C21" s="9"/>
    </row>
    <row r="22" customFormat="false" ht="18" hidden="false" customHeight="true" outlineLevel="0" collapsed="false">
      <c r="B22" s="8" t="s">
        <v>20</v>
      </c>
      <c r="C22" s="9"/>
    </row>
  </sheetData>
  <mergeCells count="4">
    <mergeCell ref="B2:D2"/>
    <mergeCell ref="B3:D3"/>
    <mergeCell ref="B16:D16"/>
    <mergeCell ref="B17:D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6CA8"/>
    <pageSetUpPr fitToPage="false"/>
  </sheetPr>
  <dimension ref="A1:F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1"/>
    <col collapsed="false" customWidth="true" hidden="false" outlineLevel="0" max="2" min="2" style="1" width="42"/>
    <col collapsed="false" customWidth="true" hidden="false" outlineLevel="0" max="4" min="3" style="1" width="18"/>
    <col collapsed="false" customWidth="true" hidden="false" outlineLevel="0" max="6" min="5" style="1" width="14"/>
    <col collapsed="false" customWidth="true" hidden="false" outlineLevel="0" max="7" min="7" style="1" width="2"/>
  </cols>
  <sheetData>
    <row r="1" customFormat="false" ht="27.75" hidden="false" customHeight="true" outlineLevel="0" collapsed="false">
      <c r="A1" s="10" t="s">
        <v>21</v>
      </c>
      <c r="B1" s="10"/>
      <c r="C1" s="10"/>
      <c r="D1" s="10"/>
      <c r="E1" s="10"/>
      <c r="F1" s="10"/>
    </row>
    <row r="2" customFormat="false" ht="13.5" hidden="false" customHeight="true" outlineLevel="0" collapsed="false">
      <c r="A2" s="11" t="s">
        <v>22</v>
      </c>
      <c r="B2" s="11"/>
      <c r="C2" s="11"/>
      <c r="D2" s="11"/>
      <c r="E2" s="11"/>
      <c r="F2" s="11"/>
    </row>
    <row r="4" customFormat="false" ht="15.75" hidden="false" customHeight="true" outlineLevel="0" collapsed="false">
      <c r="B4" s="12" t="s">
        <v>23</v>
      </c>
      <c r="C4" s="12"/>
      <c r="D4" s="13"/>
      <c r="E4" s="14"/>
    </row>
    <row r="6" customFormat="false" ht="19.5" hidden="false" customHeight="true" outlineLevel="0" collapsed="false">
      <c r="B6" s="15" t="s">
        <v>24</v>
      </c>
      <c r="C6" s="15" t="s">
        <v>25</v>
      </c>
      <c r="D6" s="15" t="s">
        <v>26</v>
      </c>
      <c r="E6" s="15" t="s">
        <v>27</v>
      </c>
      <c r="F6" s="15" t="s">
        <v>28</v>
      </c>
    </row>
    <row r="7" customFormat="false" ht="15.75" hidden="false" customHeight="true" outlineLevel="0" collapsed="false">
      <c r="B7" s="16" t="s">
        <v>29</v>
      </c>
      <c r="C7" s="17" t="str">
        <f aca="false">'Schedule 1'!E11</f>
        <v/>
      </c>
      <c r="D7" s="17" t="n">
        <f aca="false">'Schedule 2'!E55+'Schedule 3'!E24+'Schedule 4'!E15</f>
        <v>0</v>
      </c>
      <c r="E7" s="18" t="str">
        <f aca="false">IF(D7&lt;&gt;0,C7/D7,"-")</f>
        <v>-</v>
      </c>
      <c r="F7" s="19" t="s">
        <v>30</v>
      </c>
    </row>
    <row r="8" customFormat="false" ht="15.75" hidden="false" customHeight="true" outlineLevel="0" collapsed="false">
      <c r="B8" s="20" t="s">
        <v>31</v>
      </c>
      <c r="C8" s="21" t="str">
        <f aca="false">'Schedule 1'!E18</f>
        <v/>
      </c>
      <c r="D8" s="22" t="s">
        <v>32</v>
      </c>
      <c r="E8" s="22" t="s">
        <v>32</v>
      </c>
      <c r="F8" s="23" t="s">
        <v>32</v>
      </c>
    </row>
    <row r="9" customFormat="false" ht="15.75" hidden="false" customHeight="true" outlineLevel="0" collapsed="false">
      <c r="B9" s="4" t="s">
        <v>33</v>
      </c>
      <c r="C9" s="17" t="str">
        <f aca="false">'Schedule 1'!E21</f>
        <v/>
      </c>
      <c r="D9" s="24" t="s">
        <v>32</v>
      </c>
      <c r="E9" s="18" t="str">
        <f aca="false">IF($D$12&lt;&gt;0,C9/$D$12,"-")</f>
        <v>-</v>
      </c>
      <c r="F9" s="19" t="s">
        <v>34</v>
      </c>
    </row>
    <row r="10" customFormat="false" ht="15.75" hidden="false" customHeight="true" outlineLevel="0" collapsed="false">
      <c r="B10" s="20" t="s">
        <v>35</v>
      </c>
      <c r="C10" s="21" t="str">
        <f aca="false">'Schedule 1'!E29</f>
        <v/>
      </c>
      <c r="D10" s="22" t="s">
        <v>32</v>
      </c>
      <c r="E10" s="22" t="s">
        <v>32</v>
      </c>
      <c r="F10" s="23" t="s">
        <v>32</v>
      </c>
    </row>
    <row r="11" customFormat="false" ht="15.75" hidden="false" customHeight="true" outlineLevel="0" collapsed="false">
      <c r="B11" s="4" t="s">
        <v>36</v>
      </c>
      <c r="C11" s="17" t="n">
        <f aca="false">'Schedule 1'!E32</f>
        <v>0</v>
      </c>
      <c r="D11" s="24" t="s">
        <v>32</v>
      </c>
      <c r="E11" s="18" t="str">
        <f aca="false">IF($D$12&lt;&gt;0,C11/$D$12,"-")</f>
        <v>-</v>
      </c>
      <c r="F11" s="19" t="s">
        <v>37</v>
      </c>
    </row>
    <row r="12" customFormat="false" ht="15.75" hidden="false" customHeight="true" outlineLevel="0" collapsed="false">
      <c r="B12" s="25" t="s">
        <v>38</v>
      </c>
      <c r="C12" s="22" t="s">
        <v>32</v>
      </c>
      <c r="D12" s="21" t="n">
        <f aca="false">'Schedule 2'!E55+'Schedule 3'!E24+'Schedule 4'!E15</f>
        <v>0</v>
      </c>
      <c r="E12" s="22" t="s">
        <v>32</v>
      </c>
      <c r="F12" s="23" t="s">
        <v>32</v>
      </c>
    </row>
    <row r="14" customFormat="false" ht="15.75" hidden="false" customHeight="true" outlineLevel="0" collapsed="false">
      <c r="B14" s="26" t="s">
        <v>39</v>
      </c>
      <c r="C14" s="26"/>
      <c r="D14" s="26"/>
      <c r="E14" s="26"/>
      <c r="F14" s="26"/>
    </row>
    <row r="15" customFormat="false" ht="18" hidden="false" customHeight="true" outlineLevel="0" collapsed="false">
      <c r="B15" s="15" t="s">
        <v>40</v>
      </c>
      <c r="C15" s="15" t="s">
        <v>41</v>
      </c>
      <c r="D15" s="15" t="s">
        <v>42</v>
      </c>
      <c r="E15" s="15" t="s">
        <v>43</v>
      </c>
      <c r="F15" s="15" t="s">
        <v>44</v>
      </c>
    </row>
    <row r="16" customFormat="false" ht="15.75" hidden="false" customHeight="true" outlineLevel="0" collapsed="false">
      <c r="B16" s="27" t="s">
        <v>45</v>
      </c>
      <c r="C16" s="28" t="s">
        <v>46</v>
      </c>
      <c r="D16" s="29"/>
      <c r="E16" s="18" t="n">
        <f aca="false">D16-C16</f>
        <v>-0.025</v>
      </c>
      <c r="F16" s="30" t="str">
        <f aca="false">IF(D16&gt;=C16,"✓ Compliant","✗ Breach")</f>
        <v>✗ Breach</v>
      </c>
    </row>
    <row r="17" customFormat="false" ht="15.75" hidden="false" customHeight="true" outlineLevel="0" collapsed="false">
      <c r="B17" s="31" t="s">
        <v>47</v>
      </c>
      <c r="C17" s="28" t="s">
        <v>48</v>
      </c>
      <c r="D17" s="29"/>
      <c r="E17" s="32" t="n">
        <f aca="false">D17-C17</f>
        <v>0</v>
      </c>
      <c r="F17" s="33" t="str">
        <f aca="false">IF(D17&gt;=C17,"✓ Compliant","✗ Breach")</f>
        <v>✗ Breach</v>
      </c>
    </row>
    <row r="18" customFormat="false" ht="15.75" hidden="false" customHeight="true" outlineLevel="0" collapsed="false">
      <c r="B18" s="27" t="s">
        <v>49</v>
      </c>
      <c r="C18" s="28" t="s">
        <v>50</v>
      </c>
      <c r="D18" s="29"/>
      <c r="E18" s="18" t="n">
        <f aca="false">D18-C18</f>
        <v>-0.01</v>
      </c>
      <c r="F18" s="30" t="str">
        <f aca="false">IF(D18&gt;=C18,"✓ Compliant","✗ Breach")</f>
        <v>✗ Breach</v>
      </c>
    </row>
    <row r="19" customFormat="false" ht="15.75" hidden="false" customHeight="true" outlineLevel="0" collapsed="false">
      <c r="B19" s="34" t="s">
        <v>51</v>
      </c>
      <c r="C19" s="35" t="n">
        <f aca="false">C16+C17+C18</f>
        <v>0.035</v>
      </c>
      <c r="D19" s="36"/>
      <c r="E19" s="37"/>
      <c r="F19" s="38"/>
    </row>
    <row r="22" customFormat="false" ht="12" hidden="false" customHeight="true" outlineLevel="0" collapsed="false">
      <c r="A22" s="39" t="s">
        <v>52</v>
      </c>
      <c r="B22" s="39"/>
      <c r="C22" s="39"/>
      <c r="D22" s="39"/>
      <c r="E22" s="39"/>
      <c r="F22" s="39"/>
    </row>
  </sheetData>
  <mergeCells count="5">
    <mergeCell ref="A1:F1"/>
    <mergeCell ref="A2:F2"/>
    <mergeCell ref="B4:C4"/>
    <mergeCell ref="B14:F14"/>
    <mergeCell ref="A22:F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86C1"/>
    <pageSetUpPr fitToPage="false"/>
  </sheetPr>
  <dimension ref="A1:E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1"/>
    <col collapsed="false" customWidth="true" hidden="false" outlineLevel="0" max="2" min="2" style="1" width="52"/>
    <col collapsed="false" customWidth="true" hidden="false" outlineLevel="0" max="5" min="3" style="1" width="18"/>
    <col collapsed="false" customWidth="true" hidden="false" outlineLevel="0" max="6" min="6" style="1" width="2"/>
  </cols>
  <sheetData>
    <row r="1" customFormat="false" ht="27.75" hidden="false" customHeight="true" outlineLevel="0" collapsed="false">
      <c r="A1" s="10" t="s">
        <v>53</v>
      </c>
      <c r="B1" s="10"/>
      <c r="C1" s="10"/>
      <c r="D1" s="10"/>
      <c r="E1" s="10"/>
    </row>
    <row r="2" customFormat="false" ht="13.5" hidden="false" customHeight="true" outlineLevel="0" collapsed="false">
      <c r="A2" s="11" t="s">
        <v>54</v>
      </c>
      <c r="B2" s="11"/>
      <c r="C2" s="11"/>
      <c r="D2" s="11"/>
      <c r="E2" s="11"/>
    </row>
    <row r="4" customFormat="false" ht="12" hidden="false" customHeight="true" outlineLevel="0" collapsed="false">
      <c r="A4" s="39" t="s">
        <v>52</v>
      </c>
      <c r="B4" s="39"/>
      <c r="C4" s="39"/>
      <c r="D4" s="39"/>
      <c r="E4" s="39"/>
    </row>
    <row r="5" customFormat="false" ht="27.75" hidden="false" customHeight="true" outlineLevel="0" collapsed="false">
      <c r="B5" s="15" t="s">
        <v>55</v>
      </c>
      <c r="C5" s="15" t="s">
        <v>56</v>
      </c>
      <c r="D5" s="15" t="s">
        <v>57</v>
      </c>
      <c r="E5" s="15" t="s">
        <v>58</v>
      </c>
    </row>
    <row r="6" customFormat="false" ht="15.75" hidden="false" customHeight="true" outlineLevel="0" collapsed="false">
      <c r="B6" s="40" t="s">
        <v>59</v>
      </c>
      <c r="C6" s="40"/>
      <c r="D6" s="40"/>
      <c r="E6" s="40"/>
    </row>
    <row r="7" customFormat="false" ht="15" hidden="false" customHeight="true" outlineLevel="0" collapsed="false">
      <c r="B7" s="27" t="s">
        <v>60</v>
      </c>
      <c r="C7" s="41"/>
      <c r="D7" s="41"/>
      <c r="E7" s="42" t="str">
        <f aca="false">IF(C7="","",C7)</f>
        <v/>
      </c>
    </row>
    <row r="8" customFormat="false" ht="15" hidden="false" customHeight="true" outlineLevel="0" collapsed="false">
      <c r="B8" s="31" t="s">
        <v>61</v>
      </c>
      <c r="C8" s="41"/>
      <c r="D8" s="41"/>
      <c r="E8" s="43" t="str">
        <f aca="false">IF(C8="","",C8)</f>
        <v/>
      </c>
    </row>
    <row r="9" customFormat="false" ht="15" hidden="false" customHeight="true" outlineLevel="0" collapsed="false">
      <c r="B9" s="27" t="s">
        <v>62</v>
      </c>
      <c r="C9" s="41"/>
      <c r="D9" s="41"/>
      <c r="E9" s="42" t="str">
        <f aca="false">IF(C9="","",C9)</f>
        <v/>
      </c>
    </row>
    <row r="10" customFormat="false" ht="15" hidden="false" customHeight="true" outlineLevel="0" collapsed="false">
      <c r="B10" s="31" t="s">
        <v>63</v>
      </c>
      <c r="C10" s="41"/>
      <c r="D10" s="41"/>
      <c r="E10" s="43" t="str">
        <f aca="false">IF(C10="","",C10)</f>
        <v/>
      </c>
    </row>
    <row r="11" customFormat="false" ht="15" hidden="false" customHeight="true" outlineLevel="0" collapsed="false">
      <c r="B11" s="27" t="s">
        <v>64</v>
      </c>
      <c r="C11" s="41"/>
      <c r="D11" s="41"/>
      <c r="E11" s="42" t="str">
        <f aca="false">IF(C11="","",C11)</f>
        <v/>
      </c>
    </row>
    <row r="12" customFormat="false" ht="15" hidden="false" customHeight="true" outlineLevel="0" collapsed="false">
      <c r="B12" s="31" t="s">
        <v>65</v>
      </c>
      <c r="C12" s="41"/>
      <c r="D12" s="41"/>
      <c r="E12" s="43" t="str">
        <f aca="false">IF(C12="","",C12)</f>
        <v/>
      </c>
    </row>
    <row r="13" customFormat="false" ht="15" hidden="false" customHeight="true" outlineLevel="0" collapsed="false">
      <c r="B13" s="27" t="s">
        <v>66</v>
      </c>
      <c r="C13" s="41"/>
      <c r="D13" s="41"/>
      <c r="E13" s="42" t="str">
        <f aca="false">IF(C13="","",C13)</f>
        <v/>
      </c>
    </row>
    <row r="14" customFormat="false" ht="15.75" hidden="false" customHeight="true" outlineLevel="0" collapsed="false">
      <c r="B14" s="44" t="s">
        <v>67</v>
      </c>
      <c r="C14" s="45" t="n">
        <f aca="false">SUM(C7:C13)</f>
        <v>0</v>
      </c>
      <c r="D14" s="46"/>
      <c r="E14" s="45" t="n">
        <f aca="false">C14</f>
        <v>0</v>
      </c>
    </row>
    <row r="15" customFormat="false" ht="15.75" hidden="false" customHeight="true" outlineLevel="0" collapsed="false">
      <c r="B15" s="26" t="s">
        <v>68</v>
      </c>
      <c r="C15" s="26"/>
      <c r="D15" s="26"/>
      <c r="E15" s="26"/>
    </row>
    <row r="16" customFormat="false" ht="15" hidden="false" customHeight="true" outlineLevel="0" collapsed="false">
      <c r="B16" s="27" t="s">
        <v>69</v>
      </c>
      <c r="C16" s="41"/>
      <c r="D16" s="41"/>
      <c r="E16" s="42" t="str">
        <f aca="false">IF(C16="","",C16)</f>
        <v/>
      </c>
    </row>
    <row r="17" customFormat="false" ht="15" hidden="false" customHeight="true" outlineLevel="0" collapsed="false">
      <c r="B17" s="31" t="s">
        <v>70</v>
      </c>
      <c r="C17" s="41"/>
      <c r="D17" s="41"/>
      <c r="E17" s="43" t="str">
        <f aca="false">IF(C17="","",C17)</f>
        <v/>
      </c>
    </row>
    <row r="18" customFormat="false" ht="15" hidden="false" customHeight="true" outlineLevel="0" collapsed="false">
      <c r="B18" s="27" t="s">
        <v>71</v>
      </c>
      <c r="C18" s="41"/>
      <c r="D18" s="41"/>
      <c r="E18" s="42" t="str">
        <f aca="false">IF(C18="","",C18)</f>
        <v/>
      </c>
    </row>
    <row r="19" customFormat="false" ht="15" hidden="false" customHeight="true" outlineLevel="0" collapsed="false">
      <c r="B19" s="31" t="s">
        <v>72</v>
      </c>
      <c r="C19" s="41"/>
      <c r="D19" s="41"/>
      <c r="E19" s="43" t="str">
        <f aca="false">IF(C19="","",C19)</f>
        <v/>
      </c>
    </row>
    <row r="20" customFormat="false" ht="15" hidden="false" customHeight="true" outlineLevel="0" collapsed="false">
      <c r="B20" s="27" t="s">
        <v>73</v>
      </c>
      <c r="C20" s="41"/>
      <c r="D20" s="41"/>
      <c r="E20" s="42" t="str">
        <f aca="false">IF(C20="","",C20)</f>
        <v/>
      </c>
    </row>
    <row r="21" customFormat="false" ht="15" hidden="false" customHeight="true" outlineLevel="0" collapsed="false">
      <c r="B21" s="31" t="s">
        <v>74</v>
      </c>
      <c r="C21" s="41"/>
      <c r="D21" s="41"/>
      <c r="E21" s="43" t="str">
        <f aca="false">IF(C21="","",C21)</f>
        <v/>
      </c>
    </row>
    <row r="22" customFormat="false" ht="15" hidden="false" customHeight="true" outlineLevel="0" collapsed="false">
      <c r="B22" s="27" t="s">
        <v>75</v>
      </c>
      <c r="C22" s="41"/>
      <c r="D22" s="41"/>
      <c r="E22" s="42" t="str">
        <f aca="false">IF(C22="","",C22)</f>
        <v/>
      </c>
    </row>
    <row r="23" customFormat="false" ht="15" hidden="false" customHeight="true" outlineLevel="0" collapsed="false">
      <c r="B23" s="31" t="s">
        <v>76</v>
      </c>
      <c r="C23" s="41"/>
      <c r="D23" s="41"/>
      <c r="E23" s="43" t="str">
        <f aca="false">IF(C23="","",C23)</f>
        <v/>
      </c>
    </row>
    <row r="24" customFormat="false" ht="15" hidden="false" customHeight="true" outlineLevel="0" collapsed="false">
      <c r="B24" s="27" t="s">
        <v>77</v>
      </c>
      <c r="C24" s="41"/>
      <c r="D24" s="41"/>
      <c r="E24" s="42" t="str">
        <f aca="false">IF(C24="","",C24)</f>
        <v/>
      </c>
    </row>
    <row r="25" customFormat="false" ht="15" hidden="false" customHeight="true" outlineLevel="0" collapsed="false">
      <c r="B25" s="31" t="s">
        <v>78</v>
      </c>
      <c r="C25" s="41"/>
      <c r="D25" s="41"/>
      <c r="E25" s="43" t="str">
        <f aca="false">IF(C25="","",C25)</f>
        <v/>
      </c>
    </row>
    <row r="26" customFormat="false" ht="15" hidden="false" customHeight="true" outlineLevel="0" collapsed="false">
      <c r="B26" s="27" t="s">
        <v>79</v>
      </c>
      <c r="C26" s="41"/>
      <c r="D26" s="41"/>
      <c r="E26" s="42" t="str">
        <f aca="false">IF(C26="","",C26)</f>
        <v/>
      </c>
    </row>
    <row r="27" customFormat="false" ht="15" hidden="false" customHeight="true" outlineLevel="0" collapsed="false">
      <c r="B27" s="31" t="s">
        <v>80</v>
      </c>
      <c r="C27" s="41"/>
      <c r="D27" s="41"/>
      <c r="E27" s="43" t="str">
        <f aca="false">IF(C27="","",C27)</f>
        <v/>
      </c>
    </row>
    <row r="28" customFormat="false" ht="15" hidden="false" customHeight="true" outlineLevel="0" collapsed="false">
      <c r="B28" s="27" t="s">
        <v>81</v>
      </c>
      <c r="C28" s="41"/>
      <c r="D28" s="41"/>
      <c r="E28" s="42" t="str">
        <f aca="false">IF(C28="","",C28)</f>
        <v/>
      </c>
    </row>
    <row r="29" customFormat="false" ht="15" hidden="false" customHeight="true" outlineLevel="0" collapsed="false">
      <c r="B29" s="31" t="s">
        <v>82</v>
      </c>
      <c r="C29" s="41"/>
      <c r="D29" s="41"/>
      <c r="E29" s="43" t="str">
        <f aca="false">IF(C29="","",C29)</f>
        <v/>
      </c>
    </row>
    <row r="30" customFormat="false" ht="15" hidden="false" customHeight="true" outlineLevel="0" collapsed="false">
      <c r="B30" s="27" t="s">
        <v>83</v>
      </c>
      <c r="C30" s="41"/>
      <c r="D30" s="41"/>
      <c r="E30" s="42" t="str">
        <f aca="false">IF(C30="","",C30)</f>
        <v/>
      </c>
    </row>
    <row r="31" customFormat="false" ht="15" hidden="false" customHeight="true" outlineLevel="0" collapsed="false">
      <c r="B31" s="31" t="s">
        <v>84</v>
      </c>
      <c r="C31" s="41"/>
      <c r="D31" s="41"/>
      <c r="E31" s="43" t="str">
        <f aca="false">IF(C31="","",C31)</f>
        <v/>
      </c>
    </row>
    <row r="32" customFormat="false" ht="15.75" hidden="false" customHeight="true" outlineLevel="0" collapsed="false">
      <c r="B32" s="44" t="s">
        <v>85</v>
      </c>
      <c r="C32" s="45" t="n">
        <f aca="false">SUM(C16:C31)</f>
        <v>0</v>
      </c>
      <c r="D32" s="44"/>
      <c r="E32" s="45" t="n">
        <f aca="false">C32</f>
        <v>0</v>
      </c>
    </row>
    <row r="33" customFormat="false" ht="15.75" hidden="false" customHeight="true" outlineLevel="0" collapsed="false">
      <c r="B33" s="44" t="s">
        <v>86</v>
      </c>
      <c r="C33" s="44"/>
      <c r="D33" s="44"/>
      <c r="E33" s="45" t="n">
        <f aca="false">C14-C32</f>
        <v>0</v>
      </c>
    </row>
    <row r="35" customFormat="false" ht="15.75" hidden="false" customHeight="true" outlineLevel="0" collapsed="false">
      <c r="B35" s="40" t="s">
        <v>87</v>
      </c>
      <c r="C35" s="40"/>
      <c r="D35" s="40"/>
      <c r="E35" s="40"/>
    </row>
    <row r="36" customFormat="false" ht="15" hidden="false" customHeight="true" outlineLevel="0" collapsed="false">
      <c r="B36" s="27" t="s">
        <v>88</v>
      </c>
      <c r="C36" s="41"/>
      <c r="D36" s="41"/>
      <c r="E36" s="42" t="str">
        <f aca="false">IF(C36="","",C36)</f>
        <v/>
      </c>
    </row>
    <row r="37" customFormat="false" ht="15" hidden="false" customHeight="true" outlineLevel="0" collapsed="false">
      <c r="B37" s="31" t="s">
        <v>89</v>
      </c>
      <c r="C37" s="41"/>
      <c r="D37" s="41"/>
      <c r="E37" s="43" t="str">
        <f aca="false">IF(C37="","",C37)</f>
        <v/>
      </c>
    </row>
    <row r="38" customFormat="false" ht="15" hidden="false" customHeight="true" outlineLevel="0" collapsed="false">
      <c r="B38" s="27" t="s">
        <v>90</v>
      </c>
      <c r="C38" s="41"/>
      <c r="D38" s="41"/>
      <c r="E38" s="42" t="str">
        <f aca="false">IF(C38="","",C38)</f>
        <v/>
      </c>
    </row>
    <row r="39" customFormat="false" ht="15" hidden="false" customHeight="true" outlineLevel="0" collapsed="false">
      <c r="B39" s="31" t="s">
        <v>91</v>
      </c>
      <c r="C39" s="41"/>
      <c r="D39" s="41"/>
      <c r="E39" s="43" t="str">
        <f aca="false">IF(C39="","",C39)</f>
        <v/>
      </c>
    </row>
    <row r="40" customFormat="false" ht="15" hidden="false" customHeight="true" outlineLevel="0" collapsed="false">
      <c r="B40" s="27" t="s">
        <v>92</v>
      </c>
      <c r="C40" s="41"/>
      <c r="D40" s="41"/>
      <c r="E40" s="42" t="str">
        <f aca="false">IF(C40="","",C40)</f>
        <v/>
      </c>
    </row>
    <row r="41" customFormat="false" ht="15" hidden="false" customHeight="true" outlineLevel="0" collapsed="false">
      <c r="B41" s="31" t="s">
        <v>93</v>
      </c>
      <c r="C41" s="41"/>
      <c r="D41" s="41"/>
      <c r="E41" s="43" t="str">
        <f aca="false">IF(C41="","",C41)</f>
        <v/>
      </c>
    </row>
    <row r="42" customFormat="false" ht="15.75" hidden="false" customHeight="true" outlineLevel="0" collapsed="false">
      <c r="B42" s="44" t="s">
        <v>94</v>
      </c>
      <c r="C42" s="44"/>
      <c r="D42" s="44"/>
      <c r="E42" s="45" t="n">
        <f aca="false">SUM(C36:C41)</f>
        <v>0</v>
      </c>
    </row>
    <row r="43" customFormat="false" ht="15.75" hidden="false" customHeight="true" outlineLevel="0" collapsed="false">
      <c r="B43" s="44" t="s">
        <v>95</v>
      </c>
      <c r="C43" s="44"/>
      <c r="D43" s="44"/>
      <c r="E43" s="45" t="n">
        <f aca="false">E33+E42</f>
        <v>0</v>
      </c>
    </row>
    <row r="45" customFormat="false" ht="15.75" hidden="false" customHeight="true" outlineLevel="0" collapsed="false">
      <c r="B45" s="40" t="s">
        <v>96</v>
      </c>
      <c r="C45" s="40"/>
      <c r="D45" s="40"/>
      <c r="E45" s="40"/>
    </row>
    <row r="46" customFormat="false" ht="15" hidden="false" customHeight="true" outlineLevel="0" collapsed="false">
      <c r="B46" s="27" t="s">
        <v>97</v>
      </c>
      <c r="C46" s="41"/>
      <c r="D46" s="41"/>
      <c r="E46" s="42" t="str">
        <f aca="false">IF(C46="","",C46)</f>
        <v/>
      </c>
    </row>
    <row r="47" customFormat="false" ht="15" hidden="false" customHeight="true" outlineLevel="0" collapsed="false">
      <c r="B47" s="31" t="s">
        <v>98</v>
      </c>
      <c r="C47" s="41"/>
      <c r="D47" s="41"/>
      <c r="E47" s="43" t="str">
        <f aca="false">IF(C47="","",C47)</f>
        <v/>
      </c>
    </row>
    <row r="48" customFormat="false" ht="15" hidden="false" customHeight="true" outlineLevel="0" collapsed="false">
      <c r="B48" s="27" t="s">
        <v>99</v>
      </c>
      <c r="C48" s="41"/>
      <c r="D48" s="41"/>
      <c r="E48" s="42" t="str">
        <f aca="false">IF(C48="","",C48)</f>
        <v/>
      </c>
    </row>
    <row r="49" customFormat="false" ht="15" hidden="false" customHeight="true" outlineLevel="0" collapsed="false">
      <c r="B49" s="31" t="s">
        <v>100</v>
      </c>
      <c r="C49" s="41"/>
      <c r="D49" s="41"/>
      <c r="E49" s="43" t="str">
        <f aca="false">IF(C49="","",C49)</f>
        <v/>
      </c>
    </row>
    <row r="50" customFormat="false" ht="15" hidden="false" customHeight="true" outlineLevel="0" collapsed="false">
      <c r="B50" s="27" t="s">
        <v>101</v>
      </c>
      <c r="C50" s="41"/>
      <c r="D50" s="41"/>
      <c r="E50" s="42" t="str">
        <f aca="false">IF(C50="","",C50)</f>
        <v/>
      </c>
    </row>
    <row r="51" customFormat="false" ht="15" hidden="false" customHeight="true" outlineLevel="0" collapsed="false">
      <c r="B51" s="31" t="s">
        <v>102</v>
      </c>
      <c r="C51" s="41"/>
      <c r="D51" s="41"/>
      <c r="E51" s="43" t="str">
        <f aca="false">IF(C51="","",C51)</f>
        <v/>
      </c>
    </row>
    <row r="52" customFormat="false" ht="15" hidden="false" customHeight="true" outlineLevel="0" collapsed="false">
      <c r="B52" s="27" t="s">
        <v>103</v>
      </c>
      <c r="C52" s="41"/>
      <c r="D52" s="41"/>
      <c r="E52" s="42" t="str">
        <f aca="false">IF(C52="","",C52)</f>
        <v/>
      </c>
    </row>
    <row r="53" customFormat="false" ht="15" hidden="false" customHeight="true" outlineLevel="0" collapsed="false">
      <c r="B53" s="31" t="s">
        <v>104</v>
      </c>
      <c r="C53" s="41"/>
      <c r="D53" s="41"/>
      <c r="E53" s="43" t="str">
        <f aca="false">IF(C53="","",C53)</f>
        <v/>
      </c>
    </row>
    <row r="54" customFormat="false" ht="15.75" hidden="false" customHeight="true" outlineLevel="0" collapsed="false">
      <c r="B54" s="44" t="s">
        <v>105</v>
      </c>
      <c r="C54" s="44"/>
      <c r="D54" s="44"/>
      <c r="E54" s="45" t="n">
        <f aca="false">SUM(C46:C53)</f>
        <v>0</v>
      </c>
    </row>
    <row r="55" customFormat="false" ht="15.75" hidden="false" customHeight="true" outlineLevel="0" collapsed="false">
      <c r="B55" s="44" t="s">
        <v>106</v>
      </c>
      <c r="C55" s="44"/>
      <c r="D55" s="44"/>
      <c r="E55" s="45" t="n">
        <f aca="false">E43+E54</f>
        <v>0</v>
      </c>
    </row>
  </sheetData>
  <mergeCells count="7">
    <mergeCell ref="A1:E1"/>
    <mergeCell ref="A2:E2"/>
    <mergeCell ref="A4:E4"/>
    <mergeCell ref="B6:E6"/>
    <mergeCell ref="B15:E15"/>
    <mergeCell ref="B35:E35"/>
    <mergeCell ref="B45:E4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A5276"/>
    <pageSetUpPr fitToPage="false"/>
  </sheetPr>
  <dimension ref="A1:G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1"/>
    <col collapsed="false" customWidth="true" hidden="false" outlineLevel="0" max="2" min="2" style="1" width="44"/>
    <col collapsed="false" customWidth="true" hidden="false" outlineLevel="0" max="3" min="3" style="1" width="16"/>
    <col collapsed="false" customWidth="true" hidden="false" outlineLevel="0" max="4" min="4" style="1" width="10"/>
    <col collapsed="false" customWidth="true" hidden="false" outlineLevel="0" max="5" min="5" style="1" width="16"/>
    <col collapsed="false" customWidth="true" hidden="false" outlineLevel="0" max="7" min="6" style="1" width="14"/>
    <col collapsed="false" customWidth="true" hidden="false" outlineLevel="0" max="8" min="8" style="1" width="2"/>
  </cols>
  <sheetData>
    <row r="1" customFormat="false" ht="27.75" hidden="false" customHeight="true" outlineLevel="0" collapsed="false">
      <c r="A1" s="10" t="s">
        <v>107</v>
      </c>
      <c r="B1" s="10"/>
      <c r="C1" s="10"/>
      <c r="D1" s="10"/>
      <c r="E1" s="10"/>
      <c r="F1" s="10"/>
      <c r="G1" s="10"/>
    </row>
    <row r="2" customFormat="false" ht="13.5" hidden="false" customHeight="true" outlineLevel="0" collapsed="false">
      <c r="A2" s="11" t="s">
        <v>54</v>
      </c>
      <c r="B2" s="11"/>
      <c r="C2" s="11"/>
      <c r="D2" s="11"/>
      <c r="E2" s="11"/>
      <c r="F2" s="11"/>
      <c r="G2" s="11"/>
    </row>
    <row r="4" customFormat="false" ht="12" hidden="false" customHeight="true" outlineLevel="0" collapsed="false">
      <c r="A4" s="39" t="s">
        <v>52</v>
      </c>
      <c r="B4" s="39"/>
      <c r="C4" s="39"/>
      <c r="D4" s="39"/>
      <c r="E4" s="39"/>
      <c r="F4" s="39"/>
      <c r="G4" s="39"/>
    </row>
    <row r="5" customFormat="false" ht="30" hidden="false" customHeight="true" outlineLevel="0" collapsed="false">
      <c r="B5" s="15" t="s">
        <v>108</v>
      </c>
      <c r="C5" s="15" t="s">
        <v>109</v>
      </c>
      <c r="D5" s="15" t="s">
        <v>110</v>
      </c>
      <c r="E5" s="15" t="s">
        <v>111</v>
      </c>
      <c r="F5" s="15" t="s">
        <v>112</v>
      </c>
      <c r="G5" s="15" t="s">
        <v>113</v>
      </c>
    </row>
    <row r="6" customFormat="false" ht="15.75" hidden="false" customHeight="true" outlineLevel="0" collapsed="false">
      <c r="B6" s="26" t="s">
        <v>114</v>
      </c>
      <c r="C6" s="26"/>
      <c r="D6" s="26"/>
      <c r="E6" s="26"/>
      <c r="F6" s="26"/>
      <c r="G6" s="26"/>
    </row>
    <row r="7" customFormat="false" ht="15" hidden="false" customHeight="true" outlineLevel="0" collapsed="false">
      <c r="B7" s="47" t="s">
        <v>115</v>
      </c>
      <c r="C7" s="48"/>
      <c r="D7" s="49" t="s">
        <v>32</v>
      </c>
      <c r="E7" s="49" t="s">
        <v>32</v>
      </c>
      <c r="F7" s="50" t="n">
        <v>0</v>
      </c>
      <c r="G7" s="42" t="n">
        <f aca="false">IF(C7="",0,C7*F7)</f>
        <v>0</v>
      </c>
    </row>
    <row r="8" customFormat="false" ht="15" hidden="false" customHeight="true" outlineLevel="0" collapsed="false">
      <c r="B8" s="51" t="s">
        <v>116</v>
      </c>
      <c r="C8" s="48"/>
      <c r="D8" s="52" t="s">
        <v>32</v>
      </c>
      <c r="E8" s="52" t="s">
        <v>32</v>
      </c>
      <c r="F8" s="50" t="n">
        <v>0</v>
      </c>
      <c r="G8" s="43" t="n">
        <f aca="false">IF(C8="",0,C8*F8)</f>
        <v>0</v>
      </c>
    </row>
    <row r="9" customFormat="false" ht="15" hidden="false" customHeight="true" outlineLevel="0" collapsed="false">
      <c r="B9" s="47" t="s">
        <v>117</v>
      </c>
      <c r="C9" s="48"/>
      <c r="D9" s="49" t="s">
        <v>32</v>
      </c>
      <c r="E9" s="49" t="s">
        <v>32</v>
      </c>
      <c r="F9" s="50" t="n">
        <v>0</v>
      </c>
      <c r="G9" s="42" t="n">
        <f aca="false">IF(C9="",0,C9*F9)</f>
        <v>0</v>
      </c>
    </row>
    <row r="10" customFormat="false" ht="15" hidden="false" customHeight="true" outlineLevel="0" collapsed="false">
      <c r="B10" s="51" t="s">
        <v>118</v>
      </c>
      <c r="C10" s="48"/>
      <c r="D10" s="52" t="s">
        <v>32</v>
      </c>
      <c r="E10" s="52" t="s">
        <v>32</v>
      </c>
      <c r="F10" s="50" t="n">
        <v>0.2</v>
      </c>
      <c r="G10" s="43" t="n">
        <f aca="false">IF(C10="",0,C10*F10)</f>
        <v>0</v>
      </c>
    </row>
    <row r="11" customFormat="false" ht="15" hidden="false" customHeight="true" outlineLevel="0" collapsed="false">
      <c r="B11" s="47" t="s">
        <v>119</v>
      </c>
      <c r="C11" s="48"/>
      <c r="D11" s="49" t="s">
        <v>32</v>
      </c>
      <c r="E11" s="49" t="s">
        <v>32</v>
      </c>
      <c r="F11" s="50" t="n">
        <v>0.5</v>
      </c>
      <c r="G11" s="42" t="n">
        <f aca="false">IF(C11="",0,C11*F11)</f>
        <v>0</v>
      </c>
    </row>
    <row r="12" customFormat="false" ht="15" hidden="false" customHeight="true" outlineLevel="0" collapsed="false">
      <c r="B12" s="51" t="s">
        <v>120</v>
      </c>
      <c r="C12" s="48"/>
      <c r="D12" s="52" t="s">
        <v>32</v>
      </c>
      <c r="E12" s="52" t="s">
        <v>32</v>
      </c>
      <c r="F12" s="50" t="n">
        <v>1</v>
      </c>
      <c r="G12" s="43" t="n">
        <f aca="false">IF(C12="",0,C12*F12)</f>
        <v>0</v>
      </c>
    </row>
    <row r="13" customFormat="false" ht="15" hidden="false" customHeight="true" outlineLevel="0" collapsed="false">
      <c r="B13" s="47" t="s">
        <v>121</v>
      </c>
      <c r="C13" s="48"/>
      <c r="D13" s="49" t="s">
        <v>32</v>
      </c>
      <c r="E13" s="49" t="s">
        <v>32</v>
      </c>
      <c r="F13" s="50" t="n">
        <v>0</v>
      </c>
      <c r="G13" s="42" t="n">
        <f aca="false">IF(C13="",0,C13*F13)</f>
        <v>0</v>
      </c>
    </row>
    <row r="14" customFormat="false" ht="15" hidden="false" customHeight="true" outlineLevel="0" collapsed="false">
      <c r="B14" s="51" t="s">
        <v>122</v>
      </c>
      <c r="C14" s="48"/>
      <c r="D14" s="52" t="s">
        <v>32</v>
      </c>
      <c r="E14" s="52" t="s">
        <v>32</v>
      </c>
      <c r="F14" s="50" t="n">
        <v>0.2</v>
      </c>
      <c r="G14" s="43" t="n">
        <f aca="false">IF(C14="",0,C14*F14)</f>
        <v>0</v>
      </c>
    </row>
    <row r="15" customFormat="false" ht="15" hidden="false" customHeight="true" outlineLevel="0" collapsed="false">
      <c r="B15" s="47" t="s">
        <v>123</v>
      </c>
      <c r="C15" s="48"/>
      <c r="D15" s="49" t="s">
        <v>32</v>
      </c>
      <c r="E15" s="49" t="s">
        <v>32</v>
      </c>
      <c r="F15" s="50" t="n">
        <v>0.5</v>
      </c>
      <c r="G15" s="42" t="n">
        <f aca="false">IF(C15="",0,C15*F15)</f>
        <v>0</v>
      </c>
    </row>
    <row r="16" customFormat="false" ht="15" hidden="false" customHeight="true" outlineLevel="0" collapsed="false">
      <c r="B16" s="51" t="s">
        <v>124</v>
      </c>
      <c r="C16" s="48"/>
      <c r="D16" s="52" t="s">
        <v>32</v>
      </c>
      <c r="E16" s="52" t="s">
        <v>32</v>
      </c>
      <c r="F16" s="50" t="n">
        <v>1</v>
      </c>
      <c r="G16" s="43" t="n">
        <f aca="false">IF(C16="",0,C16*F16)</f>
        <v>0</v>
      </c>
    </row>
    <row r="17" customFormat="false" ht="15" hidden="false" customHeight="true" outlineLevel="0" collapsed="false">
      <c r="B17" s="47" t="s">
        <v>125</v>
      </c>
      <c r="C17" s="48"/>
      <c r="D17" s="49" t="s">
        <v>32</v>
      </c>
      <c r="E17" s="49" t="s">
        <v>32</v>
      </c>
      <c r="F17" s="50" t="n">
        <v>0.2</v>
      </c>
      <c r="G17" s="42" t="n">
        <f aca="false">IF(C17="",0,C17*F17)</f>
        <v>0</v>
      </c>
    </row>
    <row r="18" customFormat="false" ht="15" hidden="false" customHeight="true" outlineLevel="0" collapsed="false">
      <c r="B18" s="51" t="s">
        <v>126</v>
      </c>
      <c r="C18" s="48"/>
      <c r="D18" s="52" t="s">
        <v>32</v>
      </c>
      <c r="E18" s="52" t="s">
        <v>32</v>
      </c>
      <c r="F18" s="50" t="n">
        <v>0.5</v>
      </c>
      <c r="G18" s="43" t="n">
        <f aca="false">IF(C18="",0,C18*F18)</f>
        <v>0</v>
      </c>
    </row>
    <row r="19" customFormat="false" ht="15" hidden="false" customHeight="true" outlineLevel="0" collapsed="false">
      <c r="B19" s="47" t="s">
        <v>127</v>
      </c>
      <c r="C19" s="48"/>
      <c r="D19" s="49" t="s">
        <v>32</v>
      </c>
      <c r="E19" s="49" t="s">
        <v>32</v>
      </c>
      <c r="F19" s="50" t="n">
        <v>0.2</v>
      </c>
      <c r="G19" s="42" t="n">
        <f aca="false">IF(C19="",0,C19*F19)</f>
        <v>0</v>
      </c>
    </row>
    <row r="20" customFormat="false" ht="15" hidden="false" customHeight="true" outlineLevel="0" collapsed="false">
      <c r="B20" s="51" t="s">
        <v>128</v>
      </c>
      <c r="C20" s="48"/>
      <c r="D20" s="52" t="s">
        <v>32</v>
      </c>
      <c r="E20" s="52" t="s">
        <v>32</v>
      </c>
      <c r="F20" s="50" t="n">
        <v>0.2</v>
      </c>
      <c r="G20" s="43" t="n">
        <f aca="false">IF(C20="",0,C20*F20)</f>
        <v>0</v>
      </c>
    </row>
    <row r="21" customFormat="false" ht="15" hidden="false" customHeight="true" outlineLevel="0" collapsed="false">
      <c r="B21" s="47" t="s">
        <v>129</v>
      </c>
      <c r="C21" s="48"/>
      <c r="D21" s="49" t="s">
        <v>32</v>
      </c>
      <c r="E21" s="49" t="s">
        <v>32</v>
      </c>
      <c r="F21" s="50" t="n">
        <v>0.2</v>
      </c>
      <c r="G21" s="42" t="n">
        <f aca="false">IF(C21="",0,C21*F21)</f>
        <v>0</v>
      </c>
    </row>
    <row r="22" customFormat="false" ht="15" hidden="false" customHeight="true" outlineLevel="0" collapsed="false">
      <c r="B22" s="51" t="s">
        <v>130</v>
      </c>
      <c r="C22" s="48"/>
      <c r="D22" s="52" t="s">
        <v>32</v>
      </c>
      <c r="E22" s="52" t="s">
        <v>32</v>
      </c>
      <c r="F22" s="50" t="n">
        <v>0.5</v>
      </c>
      <c r="G22" s="43" t="n">
        <f aca="false">IF(C22="",0,C22*F22)</f>
        <v>0</v>
      </c>
    </row>
    <row r="23" customFormat="false" ht="15" hidden="false" customHeight="true" outlineLevel="0" collapsed="false">
      <c r="B23" s="47" t="s">
        <v>131</v>
      </c>
      <c r="C23" s="48"/>
      <c r="D23" s="49" t="s">
        <v>32</v>
      </c>
      <c r="E23" s="49" t="s">
        <v>32</v>
      </c>
      <c r="F23" s="50" t="n">
        <v>1</v>
      </c>
      <c r="G23" s="42" t="n">
        <f aca="false">IF(C23="",0,C23*F23)</f>
        <v>0</v>
      </c>
    </row>
    <row r="24" customFormat="false" ht="15" hidden="false" customHeight="true" outlineLevel="0" collapsed="false">
      <c r="B24" s="51" t="s">
        <v>132</v>
      </c>
      <c r="C24" s="48"/>
      <c r="D24" s="52" t="s">
        <v>32</v>
      </c>
      <c r="E24" s="52" t="s">
        <v>32</v>
      </c>
      <c r="F24" s="50" t="n">
        <v>1.5</v>
      </c>
      <c r="G24" s="43" t="n">
        <f aca="false">IF(C24="",0,C24*F24)</f>
        <v>0</v>
      </c>
    </row>
    <row r="25" customFormat="false" ht="15" hidden="false" customHeight="true" outlineLevel="0" collapsed="false">
      <c r="B25" s="47" t="s">
        <v>133</v>
      </c>
      <c r="C25" s="48"/>
      <c r="D25" s="49" t="s">
        <v>32</v>
      </c>
      <c r="E25" s="49" t="s">
        <v>32</v>
      </c>
      <c r="F25" s="50" t="n">
        <v>0.5</v>
      </c>
      <c r="G25" s="42" t="n">
        <f aca="false">IF(C25="",0,C25*F25)</f>
        <v>0</v>
      </c>
    </row>
    <row r="26" customFormat="false" ht="15" hidden="false" customHeight="true" outlineLevel="0" collapsed="false">
      <c r="B26" s="51" t="s">
        <v>134</v>
      </c>
      <c r="C26" s="48"/>
      <c r="D26" s="52" t="s">
        <v>32</v>
      </c>
      <c r="E26" s="52" t="s">
        <v>32</v>
      </c>
      <c r="F26" s="50" t="n">
        <v>0.2</v>
      </c>
      <c r="G26" s="43" t="n">
        <f aca="false">IF(C26="",0,C26*F26)</f>
        <v>0</v>
      </c>
    </row>
    <row r="27" customFormat="false" ht="15" hidden="false" customHeight="true" outlineLevel="0" collapsed="false">
      <c r="B27" s="47" t="s">
        <v>135</v>
      </c>
      <c r="C27" s="48"/>
      <c r="D27" s="49" t="s">
        <v>32</v>
      </c>
      <c r="E27" s="49" t="s">
        <v>32</v>
      </c>
      <c r="F27" s="50" t="n">
        <v>0.5</v>
      </c>
      <c r="G27" s="42" t="n">
        <f aca="false">IF(C27="",0,C27*F27)</f>
        <v>0</v>
      </c>
    </row>
    <row r="28" customFormat="false" ht="15" hidden="false" customHeight="true" outlineLevel="0" collapsed="false">
      <c r="B28" s="51" t="s">
        <v>136</v>
      </c>
      <c r="C28" s="48"/>
      <c r="D28" s="52" t="s">
        <v>32</v>
      </c>
      <c r="E28" s="52" t="s">
        <v>32</v>
      </c>
      <c r="F28" s="50" t="n">
        <v>1</v>
      </c>
      <c r="G28" s="43" t="n">
        <f aca="false">IF(C28="",0,C28*F28)</f>
        <v>0</v>
      </c>
    </row>
    <row r="29" customFormat="false" ht="15" hidden="false" customHeight="true" outlineLevel="0" collapsed="false">
      <c r="B29" s="47" t="s">
        <v>137</v>
      </c>
      <c r="C29" s="48"/>
      <c r="D29" s="49" t="s">
        <v>32</v>
      </c>
      <c r="E29" s="49" t="s">
        <v>32</v>
      </c>
      <c r="F29" s="50" t="n">
        <v>1</v>
      </c>
      <c r="G29" s="42" t="n">
        <f aca="false">IF(C29="",0,C29*F29)</f>
        <v>0</v>
      </c>
    </row>
    <row r="30" customFormat="false" ht="15" hidden="false" customHeight="true" outlineLevel="0" collapsed="false">
      <c r="B30" s="51" t="s">
        <v>138</v>
      </c>
      <c r="C30" s="48"/>
      <c r="D30" s="52" t="s">
        <v>32</v>
      </c>
      <c r="E30" s="52" t="s">
        <v>32</v>
      </c>
      <c r="F30" s="50" t="n">
        <v>1</v>
      </c>
      <c r="G30" s="43" t="n">
        <f aca="false">IF(C30="",0,C30*F30)</f>
        <v>0</v>
      </c>
    </row>
    <row r="31" customFormat="false" ht="15" hidden="false" customHeight="true" outlineLevel="0" collapsed="false">
      <c r="B31" s="47" t="s">
        <v>139</v>
      </c>
      <c r="C31" s="48"/>
      <c r="D31" s="49" t="s">
        <v>32</v>
      </c>
      <c r="E31" s="49" t="s">
        <v>32</v>
      </c>
      <c r="F31" s="50" t="n">
        <v>0.75</v>
      </c>
      <c r="G31" s="42" t="n">
        <f aca="false">IF(C31="",0,C31*F31)</f>
        <v>0</v>
      </c>
    </row>
    <row r="32" customFormat="false" ht="15" hidden="false" customHeight="true" outlineLevel="0" collapsed="false">
      <c r="B32" s="51" t="s">
        <v>140</v>
      </c>
      <c r="C32" s="48"/>
      <c r="D32" s="52" t="s">
        <v>32</v>
      </c>
      <c r="E32" s="52" t="s">
        <v>32</v>
      </c>
      <c r="F32" s="50" t="n">
        <v>0.75</v>
      </c>
      <c r="G32" s="43" t="n">
        <f aca="false">IF(C32="",0,C32*F32)</f>
        <v>0</v>
      </c>
    </row>
    <row r="33" customFormat="false" ht="15" hidden="false" customHeight="true" outlineLevel="0" collapsed="false">
      <c r="B33" s="47" t="s">
        <v>141</v>
      </c>
      <c r="C33" s="48"/>
      <c r="D33" s="49" t="s">
        <v>32</v>
      </c>
      <c r="E33" s="49" t="s">
        <v>32</v>
      </c>
      <c r="F33" s="50" t="n">
        <v>0.35</v>
      </c>
      <c r="G33" s="42" t="n">
        <f aca="false">IF(C33="",0,C33*F33)</f>
        <v>0</v>
      </c>
    </row>
    <row r="34" customFormat="false" ht="15" hidden="false" customHeight="true" outlineLevel="0" collapsed="false">
      <c r="B34" s="51" t="s">
        <v>142</v>
      </c>
      <c r="C34" s="48"/>
      <c r="D34" s="52" t="s">
        <v>32</v>
      </c>
      <c r="E34" s="52" t="s">
        <v>32</v>
      </c>
      <c r="F34" s="50" t="n">
        <v>0.75</v>
      </c>
      <c r="G34" s="43" t="n">
        <f aca="false">IF(C34="",0,C34*F34)</f>
        <v>0</v>
      </c>
    </row>
    <row r="35" customFormat="false" ht="15" hidden="false" customHeight="true" outlineLevel="0" collapsed="false">
      <c r="B35" s="47" t="s">
        <v>143</v>
      </c>
      <c r="C35" s="48"/>
      <c r="D35" s="49" t="s">
        <v>32</v>
      </c>
      <c r="E35" s="49" t="s">
        <v>32</v>
      </c>
      <c r="F35" s="50" t="n">
        <v>1</v>
      </c>
      <c r="G35" s="42" t="n">
        <f aca="false">IF(C35="",0,C35*F35)</f>
        <v>0</v>
      </c>
    </row>
    <row r="36" customFormat="false" ht="15" hidden="false" customHeight="true" outlineLevel="0" collapsed="false">
      <c r="B36" s="51" t="s">
        <v>144</v>
      </c>
      <c r="C36" s="48"/>
      <c r="D36" s="52" t="s">
        <v>32</v>
      </c>
      <c r="E36" s="52" t="s">
        <v>32</v>
      </c>
      <c r="F36" s="50" t="n">
        <v>1.5</v>
      </c>
      <c r="G36" s="43" t="n">
        <f aca="false">IF(C36="",0,C36*F36)</f>
        <v>0</v>
      </c>
    </row>
    <row r="37" customFormat="false" ht="15" hidden="false" customHeight="true" outlineLevel="0" collapsed="false">
      <c r="B37" s="47" t="s">
        <v>145</v>
      </c>
      <c r="C37" s="48"/>
      <c r="D37" s="49" t="s">
        <v>32</v>
      </c>
      <c r="E37" s="49" t="s">
        <v>32</v>
      </c>
      <c r="F37" s="50" t="n">
        <v>1</v>
      </c>
      <c r="G37" s="42" t="n">
        <f aca="false">IF(C37="",0,C37*F37)</f>
        <v>0</v>
      </c>
    </row>
    <row r="38" customFormat="false" ht="15" hidden="false" customHeight="true" outlineLevel="0" collapsed="false">
      <c r="B38" s="51" t="s">
        <v>146</v>
      </c>
      <c r="C38" s="48"/>
      <c r="D38" s="52" t="s">
        <v>32</v>
      </c>
      <c r="E38" s="52" t="s">
        <v>32</v>
      </c>
      <c r="F38" s="50" t="n">
        <v>1.5</v>
      </c>
      <c r="G38" s="43" t="n">
        <f aca="false">IF(C38="",0,C38*F38)</f>
        <v>0</v>
      </c>
    </row>
    <row r="39" customFormat="false" ht="15" hidden="false" customHeight="true" outlineLevel="0" collapsed="false">
      <c r="B39" s="47" t="s">
        <v>147</v>
      </c>
      <c r="C39" s="48"/>
      <c r="D39" s="49" t="s">
        <v>32</v>
      </c>
      <c r="E39" s="49" t="s">
        <v>32</v>
      </c>
      <c r="F39" s="50" t="n">
        <v>0</v>
      </c>
      <c r="G39" s="42" t="n">
        <f aca="false">IF(C39="",0,C39*F39)</f>
        <v>0</v>
      </c>
    </row>
    <row r="40" customFormat="false" ht="15" hidden="false" customHeight="true" outlineLevel="0" collapsed="false">
      <c r="B40" s="51" t="s">
        <v>148</v>
      </c>
      <c r="C40" s="48"/>
      <c r="D40" s="52" t="s">
        <v>32</v>
      </c>
      <c r="E40" s="52" t="s">
        <v>32</v>
      </c>
      <c r="F40" s="50" t="n">
        <v>0</v>
      </c>
      <c r="G40" s="43" t="n">
        <f aca="false">IF(C40="",0,C40*F40)</f>
        <v>0</v>
      </c>
    </row>
    <row r="41" customFormat="false" ht="15" hidden="false" customHeight="true" outlineLevel="0" collapsed="false">
      <c r="B41" s="47" t="s">
        <v>149</v>
      </c>
      <c r="C41" s="48"/>
      <c r="D41" s="49" t="s">
        <v>32</v>
      </c>
      <c r="E41" s="49" t="s">
        <v>32</v>
      </c>
      <c r="F41" s="50" t="n">
        <v>1</v>
      </c>
      <c r="G41" s="42" t="n">
        <f aca="false">IF(C41="",0,C41*F41)</f>
        <v>0</v>
      </c>
    </row>
    <row r="42" customFormat="false" ht="15" hidden="false" customHeight="true" outlineLevel="0" collapsed="false">
      <c r="B42" s="51" t="s">
        <v>150</v>
      </c>
      <c r="C42" s="48"/>
      <c r="D42" s="52" t="s">
        <v>32</v>
      </c>
      <c r="E42" s="52" t="s">
        <v>32</v>
      </c>
      <c r="F42" s="50" t="n">
        <v>1</v>
      </c>
      <c r="G42" s="43" t="n">
        <f aca="false">IF(C42="",0,C42*F42)</f>
        <v>0</v>
      </c>
    </row>
    <row r="43" customFormat="false" ht="15.75" hidden="false" customHeight="true" outlineLevel="0" collapsed="false">
      <c r="B43" s="44" t="s">
        <v>151</v>
      </c>
      <c r="C43" s="45" t="n">
        <f aca="false">SUM(C7:C42)</f>
        <v>0</v>
      </c>
      <c r="D43" s="44"/>
      <c r="E43" s="44"/>
      <c r="F43" s="44"/>
      <c r="G43" s="45" t="n">
        <f aca="false">SUM(G7:G42)</f>
        <v>0</v>
      </c>
    </row>
    <row r="45" customFormat="false" ht="15.75" hidden="false" customHeight="true" outlineLevel="0" collapsed="false">
      <c r="B45" s="26" t="s">
        <v>152</v>
      </c>
      <c r="C45" s="26"/>
      <c r="D45" s="26"/>
      <c r="E45" s="26"/>
      <c r="F45" s="26"/>
      <c r="G45" s="26"/>
    </row>
    <row r="46" customFormat="false" ht="15" hidden="false" customHeight="true" outlineLevel="0" collapsed="false">
      <c r="B46" s="47" t="s">
        <v>153</v>
      </c>
      <c r="C46" s="48"/>
      <c r="D46" s="50" t="n">
        <v>1</v>
      </c>
      <c r="E46" s="42" t="n">
        <f aca="false">IF(C46="",0,C46*D46)</f>
        <v>0</v>
      </c>
      <c r="F46" s="50" t="n">
        <v>1</v>
      </c>
      <c r="G46" s="42" t="n">
        <f aca="false">IF(E46=0,0,E46*F46)</f>
        <v>0</v>
      </c>
    </row>
    <row r="47" customFormat="false" ht="15" hidden="false" customHeight="true" outlineLevel="0" collapsed="false">
      <c r="B47" s="51" t="s">
        <v>154</v>
      </c>
      <c r="C47" s="48"/>
      <c r="D47" s="50" t="n">
        <v>0.2</v>
      </c>
      <c r="E47" s="43" t="n">
        <f aca="false">IF(C47="",0,C47*D47)</f>
        <v>0</v>
      </c>
      <c r="F47" s="50" t="n">
        <v>1</v>
      </c>
      <c r="G47" s="43" t="n">
        <f aca="false">IF(E47=0,0,E47*F47)</f>
        <v>0</v>
      </c>
    </row>
    <row r="48" customFormat="false" ht="15" hidden="false" customHeight="true" outlineLevel="0" collapsed="false">
      <c r="B48" s="47" t="s">
        <v>155</v>
      </c>
      <c r="C48" s="48"/>
      <c r="D48" s="50" t="n">
        <v>0.5</v>
      </c>
      <c r="E48" s="42" t="n">
        <f aca="false">IF(C48="",0,C48*D48)</f>
        <v>0</v>
      </c>
      <c r="F48" s="50" t="n">
        <v>1</v>
      </c>
      <c r="G48" s="42" t="n">
        <f aca="false">IF(E48=0,0,E48*F48)</f>
        <v>0</v>
      </c>
    </row>
    <row r="49" customFormat="false" ht="15" hidden="false" customHeight="true" outlineLevel="0" collapsed="false">
      <c r="B49" s="51" t="s">
        <v>156</v>
      </c>
      <c r="C49" s="48"/>
      <c r="D49" s="50" t="n">
        <v>0.5</v>
      </c>
      <c r="E49" s="43" t="n">
        <f aca="false">IF(C49="",0,C49*D49)</f>
        <v>0</v>
      </c>
      <c r="F49" s="50" t="n">
        <v>1</v>
      </c>
      <c r="G49" s="43" t="n">
        <f aca="false">IF(E49=0,0,E49*F49)</f>
        <v>0</v>
      </c>
    </row>
    <row r="50" customFormat="false" ht="15" hidden="false" customHeight="true" outlineLevel="0" collapsed="false">
      <c r="B50" s="47" t="s">
        <v>157</v>
      </c>
      <c r="C50" s="48"/>
      <c r="D50" s="50" t="n">
        <v>0.2</v>
      </c>
      <c r="E50" s="42" t="n">
        <f aca="false">IF(C50="",0,C50*D50)</f>
        <v>0</v>
      </c>
      <c r="F50" s="50" t="n">
        <v>1</v>
      </c>
      <c r="G50" s="42" t="n">
        <f aca="false">IF(E50=0,0,E50*F50)</f>
        <v>0</v>
      </c>
    </row>
    <row r="51" customFormat="false" ht="15" hidden="false" customHeight="true" outlineLevel="0" collapsed="false">
      <c r="B51" s="51" t="s">
        <v>158</v>
      </c>
      <c r="C51" s="48"/>
      <c r="D51" s="50" t="n">
        <v>1</v>
      </c>
      <c r="E51" s="43" t="n">
        <f aca="false">IF(C51="",0,C51*D51)</f>
        <v>0</v>
      </c>
      <c r="F51" s="50" t="n">
        <v>1</v>
      </c>
      <c r="G51" s="43" t="n">
        <f aca="false">IF(E51=0,0,E51*F51)</f>
        <v>0</v>
      </c>
    </row>
    <row r="52" customFormat="false" ht="15" hidden="false" customHeight="true" outlineLevel="0" collapsed="false">
      <c r="B52" s="47" t="s">
        <v>159</v>
      </c>
      <c r="C52" s="48"/>
      <c r="D52" s="50" t="n">
        <v>1</v>
      </c>
      <c r="E52" s="42" t="n">
        <f aca="false">IF(C52="",0,C52*D52)</f>
        <v>0</v>
      </c>
      <c r="F52" s="50" t="n">
        <v>1</v>
      </c>
      <c r="G52" s="42" t="n">
        <f aca="false">IF(E52=0,0,E52*F52)</f>
        <v>0</v>
      </c>
    </row>
    <row r="53" customFormat="false" ht="15" hidden="false" customHeight="true" outlineLevel="0" collapsed="false">
      <c r="B53" s="51" t="s">
        <v>160</v>
      </c>
      <c r="C53" s="48"/>
      <c r="D53" s="50" t="n">
        <v>0.5</v>
      </c>
      <c r="E53" s="43" t="n">
        <f aca="false">IF(C53="",0,C53*D53)</f>
        <v>0</v>
      </c>
      <c r="F53" s="50" t="n">
        <v>1</v>
      </c>
      <c r="G53" s="43" t="n">
        <f aca="false">IF(E53=0,0,E53*F53)</f>
        <v>0</v>
      </c>
    </row>
    <row r="54" customFormat="false" ht="15" hidden="false" customHeight="true" outlineLevel="0" collapsed="false">
      <c r="B54" s="47" t="s">
        <v>161</v>
      </c>
      <c r="C54" s="48"/>
      <c r="D54" s="50" t="n">
        <v>1</v>
      </c>
      <c r="E54" s="42" t="n">
        <f aca="false">IF(C54="",0,C54*D54)</f>
        <v>0</v>
      </c>
      <c r="F54" s="50" t="n">
        <v>1</v>
      </c>
      <c r="G54" s="42" t="n">
        <f aca="false">IF(E54=0,0,E54*F54)</f>
        <v>0</v>
      </c>
    </row>
    <row r="55" customFormat="false" ht="15.75" hidden="false" customHeight="true" outlineLevel="0" collapsed="false">
      <c r="B55" s="44" t="s">
        <v>162</v>
      </c>
      <c r="C55" s="45" t="n">
        <f aca="false">SUM(C46:C54)</f>
        <v>0</v>
      </c>
      <c r="D55" s="44"/>
      <c r="E55" s="45" t="n">
        <f aca="false">SUM(E46:E54)</f>
        <v>0</v>
      </c>
      <c r="F55" s="44"/>
      <c r="G55" s="45" t="n">
        <f aca="false">SUM(G46:G54)</f>
        <v>0</v>
      </c>
    </row>
    <row r="57" customFormat="false" ht="15.75" hidden="false" customHeight="true" outlineLevel="0" collapsed="false">
      <c r="B57" s="44" t="s">
        <v>163</v>
      </c>
      <c r="C57" s="44"/>
      <c r="D57" s="44"/>
      <c r="E57" s="44"/>
      <c r="F57" s="44"/>
      <c r="G57" s="45" t="n">
        <f aca="false">G43+G55</f>
        <v>0</v>
      </c>
    </row>
  </sheetData>
  <mergeCells count="5">
    <mergeCell ref="A1:G1"/>
    <mergeCell ref="A2:G2"/>
    <mergeCell ref="A4:G4"/>
    <mergeCell ref="B6:G6"/>
    <mergeCell ref="B45:G4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17A65"/>
    <pageSetUpPr fitToPage="false"/>
  </sheetPr>
  <dimension ref="A1:E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1"/>
    <col collapsed="false" customWidth="true" hidden="false" outlineLevel="0" max="2" min="2" style="1" width="48"/>
    <col collapsed="false" customWidth="true" hidden="false" outlineLevel="0" max="3" min="3" style="1" width="18"/>
    <col collapsed="false" customWidth="true" hidden="false" outlineLevel="0" max="4" min="4" style="1" width="12"/>
    <col collapsed="false" customWidth="true" hidden="false" outlineLevel="0" max="5" min="5" style="1" width="18"/>
    <col collapsed="false" customWidth="true" hidden="false" outlineLevel="0" max="6" min="6" style="1" width="2"/>
  </cols>
  <sheetData>
    <row r="1" customFormat="false" ht="27.75" hidden="false" customHeight="true" outlineLevel="0" collapsed="false">
      <c r="A1" s="10" t="s">
        <v>164</v>
      </c>
      <c r="B1" s="10"/>
      <c r="C1" s="10"/>
      <c r="D1" s="10"/>
      <c r="E1" s="10"/>
    </row>
    <row r="2" customFormat="false" ht="13.5" hidden="false" customHeight="true" outlineLevel="0" collapsed="false">
      <c r="A2" s="11" t="s">
        <v>165</v>
      </c>
      <c r="B2" s="11"/>
      <c r="C2" s="11"/>
      <c r="D2" s="11"/>
      <c r="E2" s="11"/>
    </row>
    <row r="4" customFormat="false" ht="12" hidden="false" customHeight="true" outlineLevel="0" collapsed="false">
      <c r="A4" s="39" t="s">
        <v>52</v>
      </c>
      <c r="B4" s="39"/>
      <c r="C4" s="39"/>
      <c r="D4" s="39"/>
      <c r="E4" s="39"/>
    </row>
    <row r="5" customFormat="false" ht="27.75" hidden="false" customHeight="true" outlineLevel="0" collapsed="false">
      <c r="B5" s="15" t="s">
        <v>166</v>
      </c>
      <c r="C5" s="15" t="s">
        <v>167</v>
      </c>
      <c r="D5" s="15" t="s">
        <v>168</v>
      </c>
      <c r="E5" s="15" t="s">
        <v>169</v>
      </c>
    </row>
    <row r="6" customFormat="false" ht="15.75" hidden="false" customHeight="true" outlineLevel="0" collapsed="false">
      <c r="B6" s="26" t="s">
        <v>170</v>
      </c>
      <c r="C6" s="26"/>
      <c r="D6" s="26"/>
      <c r="E6" s="26"/>
    </row>
    <row r="7" customFormat="false" ht="15" hidden="false" customHeight="true" outlineLevel="0" collapsed="false">
      <c r="B7" s="27" t="s">
        <v>171</v>
      </c>
      <c r="C7" s="48"/>
      <c r="D7" s="50" t="n">
        <v>0</v>
      </c>
      <c r="E7" s="42" t="n">
        <f aca="false">IF(OR(C7="",D7=""),0,C7*D7)</f>
        <v>0</v>
      </c>
    </row>
    <row r="8" customFormat="false" ht="15" hidden="false" customHeight="true" outlineLevel="0" collapsed="false">
      <c r="B8" s="31" t="s">
        <v>172</v>
      </c>
      <c r="C8" s="48"/>
      <c r="D8" s="50" t="n">
        <v>0.0025</v>
      </c>
      <c r="E8" s="43" t="n">
        <f aca="false">IF(OR(C8="",D8=""),0,C8*D8)</f>
        <v>0</v>
      </c>
    </row>
    <row r="9" customFormat="false" ht="15" hidden="false" customHeight="true" outlineLevel="0" collapsed="false">
      <c r="B9" s="27" t="s">
        <v>173</v>
      </c>
      <c r="C9" s="48"/>
      <c r="D9" s="50" t="n">
        <v>0.08</v>
      </c>
      <c r="E9" s="42" t="n">
        <f aca="false">IF(OR(C9="",D9=""),0,C9*D9)</f>
        <v>0</v>
      </c>
    </row>
    <row r="10" customFormat="false" ht="15" hidden="false" customHeight="true" outlineLevel="0" collapsed="false">
      <c r="B10" s="31" t="s">
        <v>174</v>
      </c>
      <c r="C10" s="48"/>
      <c r="D10" s="53"/>
      <c r="E10" s="43" t="n">
        <f aca="false">IF(C10="",0,C10)</f>
        <v>0</v>
      </c>
    </row>
    <row r="11" customFormat="false" ht="15" hidden="false" customHeight="true" outlineLevel="0" collapsed="false">
      <c r="B11" s="27" t="s">
        <v>175</v>
      </c>
      <c r="C11" s="48"/>
      <c r="D11" s="53"/>
      <c r="E11" s="42" t="n">
        <f aca="false">IF(C11="",0,C11)</f>
        <v>0</v>
      </c>
    </row>
    <row r="12" customFormat="false" ht="15" hidden="false" customHeight="true" outlineLevel="0" collapsed="false">
      <c r="B12" s="31" t="s">
        <v>176</v>
      </c>
      <c r="C12" s="48"/>
      <c r="D12" s="53"/>
      <c r="E12" s="43" t="n">
        <f aca="false">IF(C12="",0,C12)</f>
        <v>0</v>
      </c>
    </row>
    <row r="13" customFormat="false" ht="15.75" hidden="false" customHeight="true" outlineLevel="0" collapsed="false">
      <c r="B13" s="26" t="s">
        <v>177</v>
      </c>
      <c r="C13" s="26"/>
      <c r="D13" s="26"/>
      <c r="E13" s="26"/>
    </row>
    <row r="14" customFormat="false" ht="15" hidden="false" customHeight="true" outlineLevel="0" collapsed="false">
      <c r="B14" s="27" t="s">
        <v>178</v>
      </c>
      <c r="C14" s="48"/>
      <c r="D14" s="50" t="n">
        <v>0.08</v>
      </c>
      <c r="E14" s="42" t="n">
        <f aca="false">IF(OR(C14="",D14=""),0,C14*D14)</f>
        <v>0</v>
      </c>
    </row>
    <row r="15" customFormat="false" ht="15" hidden="false" customHeight="true" outlineLevel="0" collapsed="false">
      <c r="B15" s="31" t="s">
        <v>179</v>
      </c>
      <c r="C15" s="48"/>
      <c r="D15" s="50" t="n">
        <v>0.08</v>
      </c>
      <c r="E15" s="43" t="n">
        <f aca="false">IF(OR(C15="",D15=""),0,C15*D15)</f>
        <v>0</v>
      </c>
    </row>
    <row r="16" customFormat="false" ht="15.75" hidden="false" customHeight="true" outlineLevel="0" collapsed="false">
      <c r="B16" s="26" t="s">
        <v>180</v>
      </c>
      <c r="C16" s="26"/>
      <c r="D16" s="26"/>
      <c r="E16" s="26"/>
    </row>
    <row r="17" customFormat="false" ht="15" hidden="false" customHeight="true" outlineLevel="0" collapsed="false">
      <c r="B17" s="27" t="s">
        <v>181</v>
      </c>
      <c r="C17" s="48"/>
      <c r="D17" s="50" t="n">
        <v>0.08</v>
      </c>
      <c r="E17" s="42" t="n">
        <f aca="false">IF(OR(C17="",D17=""),0,C17*D17)</f>
        <v>0</v>
      </c>
    </row>
    <row r="18" customFormat="false" ht="15" hidden="false" customHeight="true" outlineLevel="0" collapsed="false">
      <c r="B18" s="31" t="s">
        <v>182</v>
      </c>
      <c r="C18" s="48"/>
      <c r="D18" s="50" t="n">
        <v>0.08</v>
      </c>
      <c r="E18" s="43" t="n">
        <f aca="false">IF(OR(C18="",D18=""),0,C18*D18)</f>
        <v>0</v>
      </c>
    </row>
    <row r="19" customFormat="false" ht="15.75" hidden="false" customHeight="true" outlineLevel="0" collapsed="false">
      <c r="B19" s="26" t="s">
        <v>183</v>
      </c>
      <c r="C19" s="26"/>
      <c r="D19" s="26"/>
      <c r="E19" s="26"/>
    </row>
    <row r="20" customFormat="false" ht="15" hidden="false" customHeight="true" outlineLevel="0" collapsed="false">
      <c r="B20" s="27" t="s">
        <v>184</v>
      </c>
      <c r="C20" s="48"/>
      <c r="D20" s="50" t="n">
        <v>0.15</v>
      </c>
      <c r="E20" s="42" t="n">
        <f aca="false">IF(OR(C20="",D20=""),0,C20*D20)</f>
        <v>0</v>
      </c>
    </row>
    <row r="21" customFormat="false" ht="15.75" hidden="false" customHeight="true" outlineLevel="0" collapsed="false">
      <c r="B21" s="26" t="s">
        <v>185</v>
      </c>
      <c r="C21" s="26"/>
      <c r="D21" s="26"/>
      <c r="E21" s="26"/>
    </row>
    <row r="22" customFormat="false" ht="15" hidden="false" customHeight="true" outlineLevel="0" collapsed="false">
      <c r="B22" s="27" t="s">
        <v>186</v>
      </c>
      <c r="C22" s="48"/>
      <c r="D22" s="53"/>
      <c r="E22" s="42" t="n">
        <f aca="false">IF(C22="",0,C22)</f>
        <v>0</v>
      </c>
    </row>
    <row r="23" customFormat="false" ht="15.75" hidden="false" customHeight="true" outlineLevel="0" collapsed="false">
      <c r="B23" s="44" t="s">
        <v>187</v>
      </c>
      <c r="C23" s="44"/>
      <c r="D23" s="44"/>
      <c r="E23" s="45" t="n">
        <f aca="false">SUM(E6:E22)</f>
        <v>0</v>
      </c>
    </row>
    <row r="24" customFormat="false" ht="15.75" hidden="false" customHeight="true" outlineLevel="0" collapsed="false">
      <c r="B24" s="44" t="s">
        <v>188</v>
      </c>
      <c r="C24" s="44"/>
      <c r="D24" s="44"/>
      <c r="E24" s="45" t="n">
        <f aca="false">E23*12.5</f>
        <v>0</v>
      </c>
    </row>
  </sheetData>
  <mergeCells count="8">
    <mergeCell ref="A1:E1"/>
    <mergeCell ref="A2:E2"/>
    <mergeCell ref="A4:E4"/>
    <mergeCell ref="B6:E6"/>
    <mergeCell ref="B13:E13"/>
    <mergeCell ref="B16:E16"/>
    <mergeCell ref="B19:E19"/>
    <mergeCell ref="B21:E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E2F8E"/>
    <pageSetUpPr fitToPage="false"/>
  </sheetPr>
  <dimension ref="A1:G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1"/>
    <col collapsed="false" customWidth="true" hidden="false" outlineLevel="0" max="2" min="2" style="1" width="36"/>
    <col collapsed="false" customWidth="true" hidden="false" outlineLevel="0" max="5" min="3" style="1" width="16"/>
    <col collapsed="false" customWidth="true" hidden="false" outlineLevel="0" max="6" min="6" style="1" width="12"/>
    <col collapsed="false" customWidth="true" hidden="false" outlineLevel="0" max="7" min="7" style="1" width="16"/>
    <col collapsed="false" customWidth="true" hidden="false" outlineLevel="0" max="8" min="8" style="1" width="2"/>
  </cols>
  <sheetData>
    <row r="1" customFormat="false" ht="27.75" hidden="false" customHeight="true" outlineLevel="0" collapsed="false">
      <c r="A1" s="10" t="s">
        <v>189</v>
      </c>
      <c r="B1" s="10"/>
      <c r="C1" s="10"/>
      <c r="D1" s="10"/>
      <c r="E1" s="10"/>
      <c r="F1" s="10"/>
      <c r="G1" s="10"/>
    </row>
    <row r="2" customFormat="false" ht="13.5" hidden="false" customHeight="true" outlineLevel="0" collapsed="false">
      <c r="A2" s="11" t="s">
        <v>190</v>
      </c>
      <c r="B2" s="11"/>
      <c r="C2" s="11"/>
      <c r="D2" s="11"/>
      <c r="E2" s="11"/>
      <c r="F2" s="11"/>
      <c r="G2" s="11"/>
    </row>
    <row r="4" customFormat="false" ht="12" hidden="false" customHeight="true" outlineLevel="0" collapsed="false">
      <c r="A4" s="39" t="s">
        <v>52</v>
      </c>
      <c r="B4" s="39"/>
      <c r="C4" s="39"/>
      <c r="D4" s="39"/>
      <c r="E4" s="39"/>
      <c r="F4" s="39"/>
      <c r="G4" s="39"/>
    </row>
    <row r="5" customFormat="false" ht="27.75" hidden="false" customHeight="true" outlineLevel="0" collapsed="false">
      <c r="B5" s="15" t="s">
        <v>191</v>
      </c>
      <c r="C5" s="15" t="s">
        <v>192</v>
      </c>
      <c r="D5" s="15" t="s">
        <v>193</v>
      </c>
      <c r="E5" s="15" t="s">
        <v>194</v>
      </c>
      <c r="F5" s="15" t="s">
        <v>195</v>
      </c>
      <c r="G5" s="15" t="s">
        <v>169</v>
      </c>
    </row>
    <row r="6" customFormat="false" ht="15.75" hidden="false" customHeight="true" outlineLevel="0" collapsed="false">
      <c r="B6" s="27" t="s">
        <v>196</v>
      </c>
      <c r="C6" s="48"/>
      <c r="D6" s="48"/>
      <c r="E6" s="48"/>
      <c r="F6" s="50" t="n">
        <v>0.18</v>
      </c>
      <c r="G6" s="42" t="n">
        <f aca="false">IF(OR(C6="",D6="",E6=""),0,AVERAGE(C6:E6)*F6)</f>
        <v>0</v>
      </c>
    </row>
    <row r="7" customFormat="false" ht="15.75" hidden="false" customHeight="true" outlineLevel="0" collapsed="false">
      <c r="B7" s="31" t="s">
        <v>197</v>
      </c>
      <c r="C7" s="48"/>
      <c r="D7" s="48"/>
      <c r="E7" s="48"/>
      <c r="F7" s="50" t="n">
        <v>0.18</v>
      </c>
      <c r="G7" s="43" t="n">
        <f aca="false">IF(OR(C7="",D7="",E7=""),0,AVERAGE(C7:E7)*F7)</f>
        <v>0</v>
      </c>
    </row>
    <row r="8" customFormat="false" ht="15.75" hidden="false" customHeight="true" outlineLevel="0" collapsed="false">
      <c r="B8" s="27" t="s">
        <v>198</v>
      </c>
      <c r="C8" s="48"/>
      <c r="D8" s="48"/>
      <c r="E8" s="48"/>
      <c r="F8" s="50" t="n">
        <v>0.12</v>
      </c>
      <c r="G8" s="42" t="n">
        <f aca="false">IF(OR(C8="",D8="",E8=""),0,AVERAGE(C8:E8)*F8)</f>
        <v>0</v>
      </c>
    </row>
    <row r="9" customFormat="false" ht="15.75" hidden="false" customHeight="true" outlineLevel="0" collapsed="false">
      <c r="B9" s="31" t="s">
        <v>199</v>
      </c>
      <c r="C9" s="48"/>
      <c r="D9" s="48"/>
      <c r="E9" s="48"/>
      <c r="F9" s="50" t="n">
        <v>0.15</v>
      </c>
      <c r="G9" s="43" t="n">
        <f aca="false">IF(OR(C9="",D9="",E9=""),0,AVERAGE(C9:E9)*F9)</f>
        <v>0</v>
      </c>
    </row>
    <row r="10" customFormat="false" ht="15.75" hidden="false" customHeight="true" outlineLevel="0" collapsed="false">
      <c r="B10" s="27" t="s">
        <v>200</v>
      </c>
      <c r="C10" s="48"/>
      <c r="D10" s="48"/>
      <c r="E10" s="48"/>
      <c r="F10" s="50" t="n">
        <v>0.18</v>
      </c>
      <c r="G10" s="42" t="n">
        <f aca="false">IF(OR(C10="",D10="",E10=""),0,AVERAGE(C10:E10)*F10)</f>
        <v>0</v>
      </c>
    </row>
    <row r="11" customFormat="false" ht="15.75" hidden="false" customHeight="true" outlineLevel="0" collapsed="false">
      <c r="B11" s="31" t="s">
        <v>201</v>
      </c>
      <c r="C11" s="48"/>
      <c r="D11" s="48"/>
      <c r="E11" s="48"/>
      <c r="F11" s="50" t="n">
        <v>0.15</v>
      </c>
      <c r="G11" s="43" t="n">
        <f aca="false">IF(OR(C11="",D11="",E11=""),0,AVERAGE(C11:E11)*F11)</f>
        <v>0</v>
      </c>
    </row>
    <row r="12" customFormat="false" ht="15.75" hidden="false" customHeight="true" outlineLevel="0" collapsed="false">
      <c r="B12" s="27" t="s">
        <v>202</v>
      </c>
      <c r="C12" s="48"/>
      <c r="D12" s="48"/>
      <c r="E12" s="48"/>
      <c r="F12" s="50" t="n">
        <v>0.12</v>
      </c>
      <c r="G12" s="42" t="n">
        <f aca="false">IF(OR(C12="",D12="",E12=""),0,AVERAGE(C12:E12)*F12)</f>
        <v>0</v>
      </c>
    </row>
    <row r="13" customFormat="false" ht="15.75" hidden="false" customHeight="true" outlineLevel="0" collapsed="false">
      <c r="B13" s="31" t="s">
        <v>203</v>
      </c>
      <c r="C13" s="48"/>
      <c r="D13" s="48"/>
      <c r="E13" s="48"/>
      <c r="F13" s="50" t="n">
        <v>0.12</v>
      </c>
      <c r="G13" s="43" t="n">
        <f aca="false">IF(OR(C13="",D13="",E13=""),0,AVERAGE(C13:E13)*F13)</f>
        <v>0</v>
      </c>
    </row>
    <row r="14" customFormat="false" ht="15.75" hidden="false" customHeight="true" outlineLevel="0" collapsed="false">
      <c r="B14" s="44" t="s">
        <v>204</v>
      </c>
      <c r="C14" s="45" t="n">
        <f aca="false">SUM(C6:C13)</f>
        <v>0</v>
      </c>
      <c r="D14" s="45" t="n">
        <f aca="false">SUM(D6:D13)</f>
        <v>0</v>
      </c>
      <c r="E14" s="45" t="n">
        <f aca="false">SUM(E6:E13)</f>
        <v>0</v>
      </c>
      <c r="F14" s="44"/>
      <c r="G14" s="45" t="n">
        <f aca="false">SUM(G6:G13)</f>
        <v>0</v>
      </c>
    </row>
    <row r="15" customFormat="false" ht="15.75" hidden="false" customHeight="true" outlineLevel="0" collapsed="false">
      <c r="B15" s="44" t="s">
        <v>205</v>
      </c>
      <c r="C15" s="44"/>
      <c r="D15" s="44"/>
      <c r="E15" s="44"/>
      <c r="F15" s="44"/>
      <c r="G15" s="45" t="n">
        <f aca="false">G14*12.5</f>
        <v>0</v>
      </c>
    </row>
    <row r="18" customFormat="false" ht="24" hidden="false" customHeight="true" outlineLevel="0" collapsed="false">
      <c r="B18" s="54" t="s">
        <v>206</v>
      </c>
      <c r="C18" s="54"/>
      <c r="D18" s="54"/>
      <c r="E18" s="54"/>
      <c r="F18" s="54"/>
      <c r="G18" s="54"/>
    </row>
  </sheetData>
  <mergeCells count="4">
    <mergeCell ref="A1:G1"/>
    <mergeCell ref="A2:G2"/>
    <mergeCell ref="A4:G4"/>
    <mergeCell ref="B18:G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7770D"/>
    <pageSetUpPr fitToPage="false"/>
  </sheetPr>
  <dimension ref="A1:F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1"/>
    <col collapsed="false" customWidth="true" hidden="false" outlineLevel="0" max="2" min="2" style="1" width="44"/>
    <col collapsed="false" customWidth="true" hidden="false" outlineLevel="0" max="6" min="3" style="1" width="16"/>
    <col collapsed="false" customWidth="true" hidden="false" outlineLevel="0" max="7" min="7" style="1" width="2"/>
  </cols>
  <sheetData>
    <row r="1" customFormat="false" ht="27.75" hidden="false" customHeight="true" outlineLevel="0" collapsed="false">
      <c r="A1" s="10" t="s">
        <v>207</v>
      </c>
      <c r="B1" s="10"/>
      <c r="C1" s="10"/>
      <c r="D1" s="10"/>
      <c r="E1" s="10"/>
      <c r="F1" s="10"/>
    </row>
    <row r="2" customFormat="false" ht="13.5" hidden="false" customHeight="true" outlineLevel="0" collapsed="false">
      <c r="A2" s="11" t="s">
        <v>208</v>
      </c>
      <c r="B2" s="11"/>
      <c r="C2" s="11"/>
      <c r="D2" s="11"/>
      <c r="E2" s="11"/>
      <c r="F2" s="11"/>
    </row>
    <row r="4" customFormat="false" ht="12" hidden="false" customHeight="true" outlineLevel="0" collapsed="false">
      <c r="A4" s="39" t="s">
        <v>52</v>
      </c>
      <c r="B4" s="39"/>
      <c r="C4" s="39"/>
      <c r="D4" s="39"/>
      <c r="E4" s="39"/>
      <c r="F4" s="39"/>
    </row>
    <row r="5" customFormat="false" ht="15" hidden="false" customHeight="true" outlineLevel="0" collapsed="false">
      <c r="B5" s="55" t="s">
        <v>209</v>
      </c>
      <c r="C5" s="55"/>
      <c r="D5" s="55"/>
      <c r="E5" s="55"/>
      <c r="F5" s="55"/>
    </row>
    <row r="7" customFormat="false" ht="27.75" hidden="false" customHeight="true" outlineLevel="0" collapsed="false">
      <c r="B7" s="15" t="s">
        <v>210</v>
      </c>
      <c r="C7" s="15" t="s">
        <v>211</v>
      </c>
      <c r="D7" s="15" t="s">
        <v>212</v>
      </c>
      <c r="E7" s="15" t="s">
        <v>213</v>
      </c>
      <c r="F7" s="15" t="s">
        <v>214</v>
      </c>
    </row>
    <row r="8" customFormat="false" ht="15.75" hidden="false" customHeight="true" outlineLevel="0" collapsed="false">
      <c r="B8" s="27" t="s">
        <v>215</v>
      </c>
      <c r="C8" s="28" t="n">
        <v>0.045</v>
      </c>
      <c r="D8" s="28"/>
      <c r="E8" s="56" t="str">
        <f aca="false">Summary!E7</f>
        <v>-</v>
      </c>
      <c r="F8" s="57" t="str">
        <f aca="false">IFERROR(E8-C8,"")</f>
        <v/>
      </c>
    </row>
    <row r="9" customFormat="false" ht="15.75" hidden="false" customHeight="true" outlineLevel="0" collapsed="false">
      <c r="B9" s="31" t="s">
        <v>216</v>
      </c>
      <c r="C9" s="28" t="n">
        <v>0.06</v>
      </c>
      <c r="D9" s="28"/>
      <c r="E9" s="58" t="str">
        <f aca="false">Summary!E9</f>
        <v>-</v>
      </c>
      <c r="F9" s="59" t="str">
        <f aca="false">IFERROR(E9-C9,"")</f>
        <v/>
      </c>
    </row>
    <row r="10" customFormat="false" ht="15.75" hidden="false" customHeight="true" outlineLevel="0" collapsed="false">
      <c r="B10" s="27" t="s">
        <v>217</v>
      </c>
      <c r="C10" s="28" t="n">
        <v>0.08</v>
      </c>
      <c r="D10" s="28"/>
      <c r="E10" s="56" t="str">
        <f aca="false">Summary!E11</f>
        <v>-</v>
      </c>
      <c r="F10" s="57" t="str">
        <f aca="false">IFERROR(E10-C10,"")</f>
        <v/>
      </c>
    </row>
    <row r="11" customFormat="false" ht="15.75" hidden="false" customHeight="true" outlineLevel="0" collapsed="false">
      <c r="B11" s="31" t="s">
        <v>45</v>
      </c>
      <c r="C11" s="28" t="n">
        <v>0.025</v>
      </c>
      <c r="D11" s="32"/>
      <c r="E11" s="60"/>
      <c r="F11" s="32" t="str">
        <f aca="false">IF(OR(E11="",C11=""),"",E11-C11)</f>
        <v/>
      </c>
    </row>
    <row r="12" customFormat="false" ht="15.75" hidden="false" customHeight="true" outlineLevel="0" collapsed="false">
      <c r="B12" s="27" t="s">
        <v>47</v>
      </c>
      <c r="C12" s="24"/>
      <c r="D12" s="28"/>
      <c r="E12" s="61"/>
      <c r="F12" s="18" t="str">
        <f aca="false">IF(OR(E12="",C12=""),"",E12-C12)</f>
        <v/>
      </c>
    </row>
    <row r="13" customFormat="false" ht="15.75" hidden="false" customHeight="true" outlineLevel="0" collapsed="false">
      <c r="B13" s="31" t="s">
        <v>218</v>
      </c>
      <c r="C13" s="22"/>
      <c r="D13" s="28"/>
      <c r="E13" s="60"/>
      <c r="F13" s="32" t="str">
        <f aca="false">IF(OR(E13="",C13=""),"",E13-C13)</f>
        <v/>
      </c>
    </row>
    <row r="14" customFormat="false" ht="15.75" hidden="false" customHeight="true" outlineLevel="0" collapsed="false">
      <c r="B14" s="27" t="s">
        <v>219</v>
      </c>
      <c r="C14" s="24"/>
      <c r="D14" s="28"/>
      <c r="E14" s="61"/>
      <c r="F14" s="18" t="str">
        <f aca="false">IF(OR(E14="",C14=""),"",E14-C14)</f>
        <v/>
      </c>
    </row>
    <row r="15" customFormat="false" ht="15.75" hidden="false" customHeight="true" outlineLevel="0" collapsed="false">
      <c r="B15" s="34" t="s">
        <v>220</v>
      </c>
      <c r="C15" s="37"/>
      <c r="D15" s="62"/>
      <c r="E15" s="63" t="str">
        <f aca="false">Summary!E7</f>
        <v>-</v>
      </c>
      <c r="F15" s="64"/>
    </row>
    <row r="16" customFormat="false" ht="15.75" hidden="false" customHeight="true" outlineLevel="0" collapsed="false">
      <c r="B16" s="34" t="s">
        <v>221</v>
      </c>
      <c r="C16" s="37"/>
      <c r="D16" s="62"/>
      <c r="E16" s="63" t="str">
        <f aca="false">Summary!E9</f>
        <v>-</v>
      </c>
      <c r="F16" s="64"/>
    </row>
    <row r="17" customFormat="false" ht="15.75" hidden="false" customHeight="true" outlineLevel="0" collapsed="false">
      <c r="B17" s="34" t="s">
        <v>222</v>
      </c>
      <c r="C17" s="37"/>
      <c r="D17" s="62"/>
      <c r="E17" s="63" t="str">
        <f aca="false">Summary!E11</f>
        <v>-</v>
      </c>
      <c r="F17" s="64"/>
    </row>
    <row r="20" customFormat="false" ht="15.75" hidden="false" customHeight="true" outlineLevel="0" collapsed="false">
      <c r="B20" s="26" t="s">
        <v>223</v>
      </c>
      <c r="C20" s="26"/>
      <c r="D20" s="26"/>
      <c r="E20" s="26"/>
      <c r="F20" s="26"/>
    </row>
    <row r="21" customFormat="false" ht="24" hidden="false" customHeight="true" outlineLevel="0" collapsed="false">
      <c r="B21" s="15" t="s">
        <v>224</v>
      </c>
      <c r="C21" s="15" t="s">
        <v>225</v>
      </c>
      <c r="D21" s="15" t="s">
        <v>226</v>
      </c>
      <c r="E21" s="15"/>
      <c r="F21" s="15"/>
    </row>
    <row r="22" customFormat="false" ht="15" hidden="false" customHeight="true" outlineLevel="0" collapsed="false">
      <c r="B22" s="16" t="s">
        <v>227</v>
      </c>
      <c r="C22" s="30" t="s">
        <v>228</v>
      </c>
      <c r="D22" s="30" t="s">
        <v>229</v>
      </c>
    </row>
    <row r="23" customFormat="false" ht="15" hidden="false" customHeight="true" outlineLevel="0" collapsed="false">
      <c r="B23" s="20" t="s">
        <v>230</v>
      </c>
      <c r="C23" s="33" t="s">
        <v>231</v>
      </c>
      <c r="D23" s="33" t="s">
        <v>232</v>
      </c>
    </row>
    <row r="24" customFormat="false" ht="15" hidden="false" customHeight="true" outlineLevel="0" collapsed="false">
      <c r="B24" s="16" t="s">
        <v>233</v>
      </c>
      <c r="C24" s="30" t="s">
        <v>234</v>
      </c>
      <c r="D24" s="30" t="s">
        <v>235</v>
      </c>
    </row>
    <row r="25" customFormat="false" ht="15" hidden="false" customHeight="true" outlineLevel="0" collapsed="false">
      <c r="B25" s="20" t="s">
        <v>236</v>
      </c>
      <c r="C25" s="33" t="s">
        <v>235</v>
      </c>
      <c r="D25" s="33" t="s">
        <v>234</v>
      </c>
    </row>
    <row r="26" customFormat="false" ht="15" hidden="false" customHeight="true" outlineLevel="0" collapsed="false">
      <c r="B26" s="16" t="s">
        <v>237</v>
      </c>
      <c r="C26" s="30" t="s">
        <v>229</v>
      </c>
      <c r="D26" s="30" t="s">
        <v>238</v>
      </c>
    </row>
  </sheetData>
  <mergeCells count="5">
    <mergeCell ref="A1:F1"/>
    <mergeCell ref="A2:F2"/>
    <mergeCell ref="A4:F4"/>
    <mergeCell ref="B5:F5"/>
    <mergeCell ref="B20:F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2B21"/>
    <pageSetUpPr fitToPage="false"/>
  </sheetPr>
  <dimension ref="A1:E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1"/>
    <col collapsed="false" customWidth="true" hidden="false" outlineLevel="0" max="2" min="2" style="1" width="50"/>
    <col collapsed="false" customWidth="true" hidden="false" outlineLevel="0" max="5" min="3" style="1" width="18"/>
    <col collapsed="false" customWidth="true" hidden="false" outlineLevel="0" max="6" min="6" style="1" width="2"/>
  </cols>
  <sheetData>
    <row r="1" customFormat="false" ht="27.75" hidden="false" customHeight="true" outlineLevel="0" collapsed="false">
      <c r="A1" s="10" t="s">
        <v>239</v>
      </c>
      <c r="B1" s="10"/>
      <c r="C1" s="10"/>
      <c r="D1" s="10"/>
      <c r="E1" s="10"/>
    </row>
    <row r="2" customFormat="false" ht="13.5" hidden="false" customHeight="true" outlineLevel="0" collapsed="false">
      <c r="A2" s="11" t="s">
        <v>54</v>
      </c>
      <c r="B2" s="11"/>
      <c r="C2" s="11"/>
      <c r="D2" s="11"/>
      <c r="E2" s="11"/>
    </row>
    <row r="4" customFormat="false" ht="12" hidden="false" customHeight="true" outlineLevel="0" collapsed="false">
      <c r="A4" s="39" t="s">
        <v>52</v>
      </c>
      <c r="B4" s="39"/>
      <c r="C4" s="39"/>
      <c r="D4" s="39"/>
      <c r="E4" s="39"/>
    </row>
    <row r="5" customFormat="false" ht="31.5" hidden="false" customHeight="true" outlineLevel="0" collapsed="false">
      <c r="B5" s="15" t="s">
        <v>55</v>
      </c>
      <c r="C5" s="15" t="s">
        <v>240</v>
      </c>
      <c r="D5" s="15" t="s">
        <v>241</v>
      </c>
      <c r="E5" s="15" t="s">
        <v>242</v>
      </c>
    </row>
    <row r="6" customFormat="false" ht="15.75" hidden="false" customHeight="true" outlineLevel="0" collapsed="false">
      <c r="B6" s="26" t="s">
        <v>243</v>
      </c>
      <c r="C6" s="26"/>
      <c r="D6" s="26"/>
      <c r="E6" s="26"/>
    </row>
    <row r="7" customFormat="false" ht="15.75" hidden="false" customHeight="true" outlineLevel="0" collapsed="false">
      <c r="B7" s="31" t="s">
        <v>244</v>
      </c>
      <c r="C7" s="48"/>
      <c r="D7" s="48"/>
      <c r="E7" s="43" t="str">
        <f aca="false">IF(OR(C7="",D7=""),"",C7+D7)</f>
        <v/>
      </c>
    </row>
    <row r="8" customFormat="false" ht="15.75" hidden="false" customHeight="true" outlineLevel="0" collapsed="false">
      <c r="B8" s="27" t="s">
        <v>245</v>
      </c>
      <c r="C8" s="48"/>
      <c r="D8" s="48"/>
      <c r="E8" s="42" t="str">
        <f aca="false">IF(OR(C8="",D8=""),"",C8+D8)</f>
        <v/>
      </c>
    </row>
    <row r="9" customFormat="false" ht="15.75" hidden="false" customHeight="true" outlineLevel="0" collapsed="false">
      <c r="B9" s="31" t="s">
        <v>246</v>
      </c>
      <c r="C9" s="48"/>
      <c r="D9" s="48"/>
      <c r="E9" s="43" t="str">
        <f aca="false">IF(OR(C9="",D9=""),"",C9+D9)</f>
        <v/>
      </c>
    </row>
    <row r="10" customFormat="false" ht="15.75" hidden="false" customHeight="true" outlineLevel="0" collapsed="false">
      <c r="B10" s="27" t="s">
        <v>247</v>
      </c>
      <c r="C10" s="48"/>
      <c r="D10" s="48"/>
      <c r="E10" s="42" t="str">
        <f aca="false">IF(OR(C10="",D10=""),"",C10+D10)</f>
        <v/>
      </c>
    </row>
    <row r="11" customFormat="false" ht="15.75" hidden="false" customHeight="true" outlineLevel="0" collapsed="false">
      <c r="B11" s="31" t="s">
        <v>248</v>
      </c>
      <c r="C11" s="48"/>
      <c r="D11" s="48"/>
      <c r="E11" s="43" t="str">
        <f aca="false">IF(OR(C11="",D11=""),"",C11+D11)</f>
        <v/>
      </c>
    </row>
    <row r="12" customFormat="false" ht="15.75" hidden="false" customHeight="true" outlineLevel="0" collapsed="false">
      <c r="B12" s="34" t="s">
        <v>249</v>
      </c>
      <c r="C12" s="65"/>
      <c r="D12" s="65"/>
      <c r="E12" s="65" t="str">
        <f aca="false">IF(C12="","",C12)</f>
        <v/>
      </c>
    </row>
    <row r="13" customFormat="false" ht="15.75" hidden="false" customHeight="true" outlineLevel="0" collapsed="false">
      <c r="B13" s="31" t="s">
        <v>250</v>
      </c>
      <c r="C13" s="48"/>
      <c r="D13" s="48"/>
      <c r="E13" s="43" t="str">
        <f aca="false">IF(OR(C13="",D13=""),"",C13+D13)</f>
        <v/>
      </c>
    </row>
    <row r="14" customFormat="false" ht="15.75" hidden="false" customHeight="true" outlineLevel="0" collapsed="false">
      <c r="B14" s="27" t="s">
        <v>251</v>
      </c>
      <c r="C14" s="48"/>
      <c r="D14" s="48"/>
      <c r="E14" s="42" t="str">
        <f aca="false">IF(OR(C14="",D14=""),"",C14+D14)</f>
        <v/>
      </c>
    </row>
    <row r="15" customFormat="false" ht="15.75" hidden="false" customHeight="true" outlineLevel="0" collapsed="false">
      <c r="B15" s="31" t="s">
        <v>252</v>
      </c>
      <c r="C15" s="48"/>
      <c r="D15" s="48"/>
      <c r="E15" s="43" t="str">
        <f aca="false">IF(OR(C15="",D15=""),"",C15+D15)</f>
        <v/>
      </c>
    </row>
    <row r="16" customFormat="false" ht="15.75" hidden="false" customHeight="true" outlineLevel="0" collapsed="false">
      <c r="B16" s="27" t="s">
        <v>253</v>
      </c>
      <c r="C16" s="48"/>
      <c r="D16" s="48"/>
      <c r="E16" s="42" t="str">
        <f aca="false">IF(OR(C16="",D16=""),"",C16+D16)</f>
        <v/>
      </c>
    </row>
    <row r="17" customFormat="false" ht="15.75" hidden="false" customHeight="true" outlineLevel="0" collapsed="false">
      <c r="B17" s="31" t="s">
        <v>254</v>
      </c>
      <c r="C17" s="48"/>
      <c r="D17" s="48"/>
      <c r="E17" s="43" t="str">
        <f aca="false">IF(OR(C17="",D17=""),"",C17+D17)</f>
        <v/>
      </c>
    </row>
    <row r="18" customFormat="false" ht="15.75" hidden="false" customHeight="true" outlineLevel="0" collapsed="false">
      <c r="B18" s="27" t="s">
        <v>255</v>
      </c>
      <c r="C18" s="48"/>
      <c r="D18" s="48"/>
      <c r="E18" s="42" t="str">
        <f aca="false">IF(OR(C18="",D18=""),"",C18+D18)</f>
        <v/>
      </c>
    </row>
    <row r="19" customFormat="false" ht="15.75" hidden="false" customHeight="true" outlineLevel="0" collapsed="false">
      <c r="B19" s="31" t="s">
        <v>256</v>
      </c>
      <c r="C19" s="48"/>
      <c r="D19" s="48"/>
      <c r="E19" s="43" t="str">
        <f aca="false">IF(OR(C19="",D19=""),"",C19+D19)</f>
        <v/>
      </c>
    </row>
    <row r="20" customFormat="false" ht="15.75" hidden="false" customHeight="true" outlineLevel="0" collapsed="false">
      <c r="B20" s="34" t="s">
        <v>257</v>
      </c>
      <c r="C20" s="65"/>
      <c r="D20" s="65"/>
      <c r="E20" s="65" t="str">
        <f aca="false">IF(C20="","",C20)</f>
        <v/>
      </c>
    </row>
    <row r="21" customFormat="false" ht="15.75" hidden="false" customHeight="true" outlineLevel="0" collapsed="false">
      <c r="B21" s="31" t="s">
        <v>258</v>
      </c>
      <c r="C21" s="43"/>
      <c r="D21" s="43"/>
      <c r="E21" s="43" t="str">
        <f aca="false">IF(E19="","",E19-'Schedule 1'!E55)</f>
        <v/>
      </c>
    </row>
    <row r="23" customFormat="false" ht="15.75" hidden="false" customHeight="true" outlineLevel="0" collapsed="false">
      <c r="B23" s="40" t="s">
        <v>259</v>
      </c>
      <c r="C23" s="40"/>
      <c r="D23" s="40"/>
      <c r="E23" s="40"/>
    </row>
    <row r="24" customFormat="false" ht="19.5" hidden="false" customHeight="true" outlineLevel="0" collapsed="false">
      <c r="B24" s="15" t="s">
        <v>260</v>
      </c>
      <c r="C24" s="15" t="s">
        <v>25</v>
      </c>
      <c r="D24" s="15" t="s">
        <v>261</v>
      </c>
      <c r="E24" s="15" t="s">
        <v>262</v>
      </c>
    </row>
    <row r="25" customFormat="false" ht="15" hidden="false" customHeight="true" outlineLevel="0" collapsed="false">
      <c r="B25" s="27" t="s">
        <v>263</v>
      </c>
      <c r="C25" s="17" t="n">
        <f aca="false">'Schedule 2'!G57</f>
        <v>0</v>
      </c>
      <c r="D25" s="18" t="str">
        <f aca="false">IF($C$28=0,"",C25/$C$28)</f>
        <v/>
      </c>
      <c r="E25" s="66" t="s">
        <v>264</v>
      </c>
    </row>
    <row r="26" customFormat="false" ht="15" hidden="false" customHeight="true" outlineLevel="0" collapsed="false">
      <c r="B26" s="31" t="s">
        <v>265</v>
      </c>
      <c r="C26" s="21" t="n">
        <f aca="false">'Schedule 3'!E24</f>
        <v>0</v>
      </c>
      <c r="D26" s="32" t="str">
        <f aca="false">IF($C$28=0,"",C26/$C$28)</f>
        <v/>
      </c>
      <c r="E26" s="67" t="s">
        <v>266</v>
      </c>
    </row>
    <row r="27" customFormat="false" ht="15" hidden="false" customHeight="true" outlineLevel="0" collapsed="false">
      <c r="B27" s="27" t="s">
        <v>267</v>
      </c>
      <c r="C27" s="17" t="n">
        <f aca="false">'Schedule 4'!G15</f>
        <v>0</v>
      </c>
      <c r="D27" s="18" t="str">
        <f aca="false">IF($C$28=0,"",C27/$C$28)</f>
        <v/>
      </c>
      <c r="E27" s="66" t="s">
        <v>268</v>
      </c>
    </row>
    <row r="28" customFormat="false" ht="15.75" hidden="false" customHeight="true" outlineLevel="0" collapsed="false">
      <c r="B28" s="44" t="s">
        <v>269</v>
      </c>
      <c r="C28" s="45" t="n">
        <f aca="false">SUM(C25:C27)</f>
        <v>0</v>
      </c>
      <c r="D28" s="68" t="n">
        <f aca="false">100%</f>
        <v>1</v>
      </c>
      <c r="E28" s="44"/>
    </row>
  </sheetData>
  <mergeCells count="5">
    <mergeCell ref="A1:E1"/>
    <mergeCell ref="A2:E2"/>
    <mergeCell ref="A4:E4"/>
    <mergeCell ref="B6:E6"/>
    <mergeCell ref="B23:E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2026-06-08T13:25:02Z</dcterms:created>
  <dc:creator>openpyxl</dc:creator>
  <dc:description/>
  <dc:language>en-US</dc:language>
  <cp:lastModifiedBy/>
  <dcterms:modified xsi:type="dcterms:W3CDTF">2026-06-08T14:29:33Z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