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niqus-my.sharepoint.com/personal/siddharthsharma_uniqus_com/Documents/Miscalleneous/Regulatory Reporting/"/>
    </mc:Choice>
  </mc:AlternateContent>
  <xr:revisionPtr revIDLastSave="3" documentId="11_4C85A91C66B46592B0832B0F28BDFD94C158D1FC" xr6:coauthVersionLast="47" xr6:coauthVersionMax="47" xr10:uidLastSave="{17FE7FEE-C0DC-42B1-8D05-F25FFBCA01B1}"/>
  <bookViews>
    <workbookView xWindow="-108" yWindow="-108" windowWidth="23256" windowHeight="12456" tabRatio="500" activeTab="3" xr2:uid="{00000000-000D-0000-FFFF-FFFF00000000}"/>
  </bookViews>
  <sheets>
    <sheet name="Cover" sheetId="1" r:id="rId1"/>
    <sheet name="Summary" sheetId="2" r:id="rId2"/>
    <sheet name="Schedule 1" sheetId="3" r:id="rId3"/>
    <sheet name="Schedule 2" sheetId="4" r:id="rId4"/>
    <sheet name="Schedule 3" sheetId="5" r:id="rId5"/>
    <sheet name="Schedule 4" sheetId="6" r:id="rId6"/>
    <sheet name="Schedule 5" sheetId="7" r:id="rId7"/>
    <sheet name="Schedule 6"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8" i="8" l="1"/>
  <c r="E20" i="8"/>
  <c r="E19" i="8"/>
  <c r="E21" i="8" s="1"/>
  <c r="E18" i="8"/>
  <c r="E17" i="8"/>
  <c r="E16" i="8"/>
  <c r="E15" i="8"/>
  <c r="E14" i="8"/>
  <c r="E13" i="8"/>
  <c r="E12" i="8"/>
  <c r="E11" i="8"/>
  <c r="E10" i="8"/>
  <c r="E9" i="8"/>
  <c r="E8" i="8"/>
  <c r="E7" i="8"/>
  <c r="F14" i="7"/>
  <c r="F13" i="7"/>
  <c r="F12" i="7"/>
  <c r="F11" i="7"/>
  <c r="G14" i="6"/>
  <c r="G15" i="6" s="1"/>
  <c r="C27" i="8" s="1"/>
  <c r="E14" i="6"/>
  <c r="D14" i="6"/>
  <c r="C14" i="6"/>
  <c r="G13" i="6"/>
  <c r="G12" i="6"/>
  <c r="G11" i="6"/>
  <c r="G10" i="6"/>
  <c r="G9" i="6"/>
  <c r="G8" i="6"/>
  <c r="G7" i="6"/>
  <c r="G6" i="6"/>
  <c r="E22" i="5"/>
  <c r="E20" i="5"/>
  <c r="E18" i="5"/>
  <c r="E17" i="5"/>
  <c r="E15" i="5"/>
  <c r="E23" i="5" s="1"/>
  <c r="E24" i="5" s="1"/>
  <c r="C26" i="8" s="1"/>
  <c r="E14" i="5"/>
  <c r="E12" i="5"/>
  <c r="E11" i="5"/>
  <c r="E10" i="5"/>
  <c r="E9" i="5"/>
  <c r="E8" i="5"/>
  <c r="E7" i="5"/>
  <c r="C55" i="4"/>
  <c r="G54" i="4"/>
  <c r="E54" i="4"/>
  <c r="G53" i="4"/>
  <c r="E53" i="4"/>
  <c r="G52" i="4"/>
  <c r="E52" i="4"/>
  <c r="G51" i="4"/>
  <c r="E51" i="4"/>
  <c r="E50" i="4"/>
  <c r="G50" i="4" s="1"/>
  <c r="E49" i="4"/>
  <c r="G49" i="4" s="1"/>
  <c r="G55" i="4" s="1"/>
  <c r="G48" i="4"/>
  <c r="E48" i="4"/>
  <c r="G47" i="4"/>
  <c r="E47" i="4"/>
  <c r="G46" i="4"/>
  <c r="E46" i="4"/>
  <c r="E55" i="4" s="1"/>
  <c r="C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43" i="4" s="1"/>
  <c r="G57" i="4" s="1"/>
  <c r="C25" i="8" s="1"/>
  <c r="C28" i="8" s="1"/>
  <c r="E54" i="3"/>
  <c r="E53" i="3"/>
  <c r="E52" i="3"/>
  <c r="E51" i="3"/>
  <c r="E50" i="3"/>
  <c r="E49" i="3"/>
  <c r="E48" i="3"/>
  <c r="E47" i="3"/>
  <c r="E46" i="3"/>
  <c r="E42" i="3"/>
  <c r="E41" i="3"/>
  <c r="E40" i="3"/>
  <c r="E39" i="3"/>
  <c r="E38" i="3"/>
  <c r="E37" i="3"/>
  <c r="E36" i="3"/>
  <c r="C32" i="3"/>
  <c r="E33" i="3" s="1"/>
  <c r="E43" i="3" s="1"/>
  <c r="E55" i="3" s="1"/>
  <c r="E31" i="3"/>
  <c r="E30" i="3"/>
  <c r="E29" i="3"/>
  <c r="C10" i="2" s="1"/>
  <c r="E28" i="3"/>
  <c r="E27" i="3"/>
  <c r="E26" i="3"/>
  <c r="E25" i="3"/>
  <c r="E24" i="3"/>
  <c r="E23" i="3"/>
  <c r="E22" i="3"/>
  <c r="E21" i="3"/>
  <c r="E20" i="3"/>
  <c r="E19" i="3"/>
  <c r="E18" i="3"/>
  <c r="E17" i="3"/>
  <c r="E16" i="3"/>
  <c r="E14" i="3"/>
  <c r="C14" i="3"/>
  <c r="E13" i="3"/>
  <c r="E12" i="3"/>
  <c r="E11" i="3"/>
  <c r="C7" i="2" s="1"/>
  <c r="E10" i="3"/>
  <c r="E9" i="3"/>
  <c r="E8" i="3"/>
  <c r="E7" i="3"/>
  <c r="C19" i="2"/>
  <c r="F18" i="2"/>
  <c r="E18" i="2"/>
  <c r="F17" i="2"/>
  <c r="E17" i="2"/>
  <c r="F16" i="2"/>
  <c r="E16" i="2"/>
  <c r="C9" i="2"/>
  <c r="C8" i="2"/>
  <c r="D27" i="8" l="1"/>
  <c r="D26" i="8"/>
  <c r="D25" i="8"/>
  <c r="D7" i="2"/>
  <c r="E7" i="2" s="1"/>
  <c r="D12" i="2"/>
  <c r="E32" i="3"/>
  <c r="C11" i="2" s="1"/>
  <c r="E9" i="2" l="1"/>
  <c r="E11" i="2"/>
  <c r="E15" i="7"/>
  <c r="E8" i="7"/>
  <c r="F8" i="7" s="1"/>
  <c r="E10" i="7" l="1"/>
  <c r="F10" i="7" s="1"/>
  <c r="E17" i="7"/>
  <c r="E16" i="7"/>
  <c r="E9" i="7"/>
  <c r="F9" i="7" s="1"/>
</calcChain>
</file>

<file path=xl/sharedStrings.xml><?xml version="1.0" encoding="utf-8"?>
<sst xmlns="http://schemas.openxmlformats.org/spreadsheetml/2006/main" count="369" uniqueCount="270">
  <si>
    <t>SAMA Capital Adequacy Return — Q17</t>
  </si>
  <si>
    <t>CAR-SA-01  |  Quarterly Prudential Return</t>
  </si>
  <si>
    <t>Bank Full Legal Name</t>
  </si>
  <si>
    <t>SAMA License Number</t>
  </si>
  <si>
    <t>Reporting Quarter</t>
  </si>
  <si>
    <t>e.g. Q2 2025</t>
  </si>
  <si>
    <t>Reporting Period End Date</t>
  </si>
  <si>
    <t>DD/MM/YYYY</t>
  </si>
  <si>
    <t>Submission Date</t>
  </si>
  <si>
    <t>Prepared By (Name)</t>
  </si>
  <si>
    <t>Reviewed By (Name)</t>
  </si>
  <si>
    <t>Approved By (Board / CEO)</t>
  </si>
  <si>
    <t>Reporting Currency</t>
  </si>
  <si>
    <t>SAR</t>
  </si>
  <si>
    <t>Units</t>
  </si>
  <si>
    <t>SAR '000</t>
  </si>
  <si>
    <t>Declaration</t>
  </si>
  <si>
    <t>We confirm that the information contained in this Capital Adequacy Return is accurate and complete to the best of our knowledge and belief, and has been prepared in accordance with SAMA's Basel III Capital Adequacy Framework and all applicable SAMA circulars and guidelines.</t>
  </si>
  <si>
    <t>Authorised Signatory</t>
  </si>
  <si>
    <t>Designation</t>
  </si>
  <si>
    <t>Date</t>
  </si>
  <si>
    <t>CAR-SA-01 — Summary: Capital Adequacy Ratios</t>
  </si>
  <si>
    <t>All figures in SAR '000 unless otherwise stated</t>
  </si>
  <si>
    <t>Bank Name:</t>
  </si>
  <si>
    <t>Metric</t>
  </si>
  <si>
    <t>Amount (SAR '000)</t>
  </si>
  <si>
    <t>RWA (SAR '000)</t>
  </si>
  <si>
    <t>Ratio (%)</t>
  </si>
  <si>
    <t>SAMA Minimum</t>
  </si>
  <si>
    <t>Common Equity Tier 1 (CET1) Capital</t>
  </si>
  <si>
    <t>7.00%</t>
  </si>
  <si>
    <t>Additional Tier 1 (AT1) Capital</t>
  </si>
  <si>
    <t>—</t>
  </si>
  <si>
    <t>Tier 1 Capital (CET1 + AT1)</t>
  </si>
  <si>
    <t>8.50%</t>
  </si>
  <si>
    <t>Tier 2 Capital</t>
  </si>
  <si>
    <t>Total Regulatory Capital (T1 + T2)</t>
  </si>
  <si>
    <t>10.50%</t>
  </si>
  <si>
    <t>Total Risk-Weighted Assets (RWA)</t>
  </si>
  <si>
    <t xml:space="preserve">  Capital Buffers</t>
  </si>
  <si>
    <t>Buffer</t>
  </si>
  <si>
    <t>Required (%)</t>
  </si>
  <si>
    <t>Held (%)</t>
  </si>
  <si>
    <t>Surplus / (Deficit)</t>
  </si>
  <si>
    <t>Status</t>
  </si>
  <si>
    <t>Capital Conservation Buffer (CCB)</t>
  </si>
  <si>
    <t>2.50%</t>
  </si>
  <si>
    <t>Countercyclical Capital Buffer (CCyB)</t>
  </si>
  <si>
    <t>0.00%</t>
  </si>
  <si>
    <t>D-SIB Surcharge (if applicable)</t>
  </si>
  <si>
    <t>1.00%</t>
  </si>
  <si>
    <t>Total Combined Buffer Requirement</t>
  </si>
  <si>
    <t xml:space="preserve">  Color legend:  Blue = Input (hardcoded)  |  Black = Formula  |  Green = Cross-sheet link  |  Yellow bg = Key assumption</t>
  </si>
  <si>
    <t>Schedule 1 — Regulatory Capital Composition</t>
  </si>
  <si>
    <t>All figures in SAR '000</t>
  </si>
  <si>
    <t>Line Item</t>
  </si>
  <si>
    <t>Gross Amount
(SAR '000)</t>
  </si>
  <si>
    <t>Regulatory
Adjustments</t>
  </si>
  <si>
    <t>Net Regulatory
Capital (SAR '000)</t>
  </si>
  <si>
    <t xml:space="preserve">  PART A — Common Equity Tier 1 (CET1) Capital</t>
  </si>
  <si>
    <t xml:space="preserve">  Paid-up ordinary share capital / common shares</t>
  </si>
  <si>
    <t xml:space="preserve">  Share premium (relating to CET1)</t>
  </si>
  <si>
    <t xml:space="preserve">  Retained earnings (prior year)</t>
  </si>
  <si>
    <t xml:space="preserve">  Current year profit attributable to shareholders (net of dividends)</t>
  </si>
  <si>
    <t xml:space="preserve">  Accumulated Other Comprehensive Income (AOCI)</t>
  </si>
  <si>
    <t xml:space="preserve">  Other disclosed reserves</t>
  </si>
  <si>
    <t xml:space="preserve">  Minority interest — eligible amount</t>
  </si>
  <si>
    <t>Sub-total: CET1 before regulatory adjustments</t>
  </si>
  <si>
    <t xml:space="preserve">  Regulatory Deductions from CET1</t>
  </si>
  <si>
    <t xml:space="preserve">  Goodwill (net of associated deferred tax liability)</t>
  </si>
  <si>
    <t xml:space="preserve">  Other intangible assets (net of associated deferred tax liability)</t>
  </si>
  <si>
    <t xml:space="preserve">  Deferred tax assets that rely on future profitability (excluding those from temporary differences)</t>
  </si>
  <si>
    <t xml:space="preserve">  Cash flow hedge reserve</t>
  </si>
  <si>
    <t xml:space="preserve">  Shortfall of provisions to expected losses (IRB banks only)</t>
  </si>
  <si>
    <t xml:space="preserve">  Securitisation gain on sale</t>
  </si>
  <si>
    <t xml:space="preserve">  Gains/losses due to changes in own credit risk on fair-valued liabilities</t>
  </si>
  <si>
    <t xml:space="preserve">  Defined benefit pension fund net assets</t>
  </si>
  <si>
    <t xml:space="preserve">  Investments in own CET1 instruments (treasury shares)</t>
  </si>
  <si>
    <t xml:space="preserve">  Reciprocal cross-holdings in CET1 of other financial institutions</t>
  </si>
  <si>
    <t xml:space="preserve">  Significant investments in CET1 of unconsolidated financial institutions (&gt;10%)</t>
  </si>
  <si>
    <t xml:space="preserve">  Non-significant investments in CET1 of financial institutions — amounts above 10% threshold</t>
  </si>
  <si>
    <t xml:space="preserve">  Mortgage servicing rights — amounts above 10% threshold</t>
  </si>
  <si>
    <t xml:space="preserve">  Deferred tax assets from temporary differences — amounts above 10% threshold</t>
  </si>
  <si>
    <t xml:space="preserve">  Amounts above 15% combined threshold</t>
  </si>
  <si>
    <t xml:space="preserve">  Other deductions as prescribed by SAMA</t>
  </si>
  <si>
    <t>Total Regulatory Deductions from CET1</t>
  </si>
  <si>
    <t>TOTAL CET1 CAPITAL (NET)</t>
  </si>
  <si>
    <t xml:space="preserve">  PART B — Additional Tier 1 (AT1) Capital</t>
  </si>
  <si>
    <t xml:space="preserve">  Qualifying AT1 instruments (Perpetual Sukuk / bonds meeting Basel III AT1 criteria)</t>
  </si>
  <si>
    <t xml:space="preserve">  Share premium relating to AT1 instruments</t>
  </si>
  <si>
    <t xml:space="preserve">  Less: Investments in own AT1 instruments</t>
  </si>
  <si>
    <t xml:space="preserve">  Less: Reciprocal cross-holdings in AT1 of other financial institutions</t>
  </si>
  <si>
    <t xml:space="preserve">  Less: Significant investments in AT1 of unconsolidated financial institutions</t>
  </si>
  <si>
    <t xml:space="preserve">  Other AT1 deductions as prescribed by SAMA</t>
  </si>
  <si>
    <t>TOTAL AT1 CAPITAL</t>
  </si>
  <si>
    <t>TOTAL TIER 1 CAPITAL (CET1 + AT1)</t>
  </si>
  <si>
    <t xml:space="preserve">  PART C — Tier 2 Capital</t>
  </si>
  <si>
    <t xml:space="preserve">  Qualifying Tier 2 instruments (Subordinated Sukuk / bonds — minimum 5 year maturity)</t>
  </si>
  <si>
    <t xml:space="preserve">  Share premium relating to Tier 2 instruments</t>
  </si>
  <si>
    <t xml:space="preserve">  General provisions / general loan-loss reserves (Standardized Approach — max 1.25% of credit RWA)</t>
  </si>
  <si>
    <t xml:space="preserve">  Excess of provisions over expected losses (eligible — IRB approach)</t>
  </si>
  <si>
    <t xml:space="preserve">  Less: Investments in own Tier 2 instruments</t>
  </si>
  <si>
    <t xml:space="preserve">  Less: Reciprocal cross-holdings in Tier 2 of other financial institutions</t>
  </si>
  <si>
    <t xml:space="preserve">  Less: Significant investments in Tier 2 of unconsolidated financial institutions</t>
  </si>
  <si>
    <t xml:space="preserve">  Other Tier 2 deductions as prescribed by SAMA</t>
  </si>
  <si>
    <t>TOTAL TIER 2 CAPITAL</t>
  </si>
  <si>
    <t>TOTAL REGULATORY CAPITAL (TIER 1 + TIER 2)</t>
  </si>
  <si>
    <t>Schedule 2 — Credit Risk Risk-Weighted Assets (Standardized Approach)</t>
  </si>
  <si>
    <t>Exposure Class</t>
  </si>
  <si>
    <t>On-Balance Sheet
Exposure (SAR '000)</t>
  </si>
  <si>
    <t>CCF
(%)</t>
  </si>
  <si>
    <t>Off-BS Equivalent
(SAR '000)</t>
  </si>
  <si>
    <t>Risk Weight
(%)</t>
  </si>
  <si>
    <t>Risk-Weighted
Assets (SAR '000)</t>
  </si>
  <si>
    <t xml:space="preserve">  A. On-Balance Sheet Exposures</t>
  </si>
  <si>
    <t>Claims on Saudi Government and SAMA</t>
  </si>
  <si>
    <t>Claims on Saudi Government — foreign currency</t>
  </si>
  <si>
    <t>Claims on GCC Governments (rated AAA to AA-)</t>
  </si>
  <si>
    <t>Claims on GCC Governments (rated A+ to A-)</t>
  </si>
  <si>
    <t>Claims on GCC Governments (rated BBB+ to B-)</t>
  </si>
  <si>
    <t>Claims on GCC Governments (unrated)</t>
  </si>
  <si>
    <t>Claims on other Sovereigns (rated AAA to AA-)</t>
  </si>
  <si>
    <t>Claims on other Sovereigns (rated A+ to A-)</t>
  </si>
  <si>
    <t>Claims on other Sovereigns (rated BBB+ to BB-)</t>
  </si>
  <si>
    <t>Claims on other Sovereigns (below BB- / unrated)</t>
  </si>
  <si>
    <t>Claims on Public Sector Entities (PSEs) — domestic</t>
  </si>
  <si>
    <t>Claims on Public Sector Entities (PSEs) — foreign</t>
  </si>
  <si>
    <t>Claims on Multilateral Development Banks (MDBs)</t>
  </si>
  <si>
    <t>Claims on Banks — short-term (&lt; 3 months)</t>
  </si>
  <si>
    <t>Claims on Banks — long-term (rated AAA to AA-)</t>
  </si>
  <si>
    <t>Claims on Banks — long-term (rated A+ to A-)</t>
  </si>
  <si>
    <t>Claims on Banks — long-term (rated BBB+ to BB-)</t>
  </si>
  <si>
    <t>Claims on Banks — long-term (below BB- / unrated)</t>
  </si>
  <si>
    <t>Claims on Securities Firms (equivalent to banks)</t>
  </si>
  <si>
    <t>Claims on Corporates (rated AAA to AA-)</t>
  </si>
  <si>
    <t>Claims on Corporates (rated A+ to A-)</t>
  </si>
  <si>
    <t>Claims on Corporates (rated BBB+ to BB-)</t>
  </si>
  <si>
    <t>Claims on Corporates (below BB- / unrated)</t>
  </si>
  <si>
    <t>Claims on SMEs — Corporate treatment</t>
  </si>
  <si>
    <t>Regulatory Retail Portfolio</t>
  </si>
  <si>
    <t>Retail SMEs (qualifying)</t>
  </si>
  <si>
    <t>Claims secured by Residential Real Estate (≤80% LTV)</t>
  </si>
  <si>
    <t>Claims secured by Residential Real Estate (&gt;80% LTV)</t>
  </si>
  <si>
    <t>Claims secured by Commercial Real Estate</t>
  </si>
  <si>
    <t>Past Due Loans — net of specific provisions (&lt;20% covered)</t>
  </si>
  <si>
    <t>Past Due Loans — net of specific provisions (≥20% covered)</t>
  </si>
  <si>
    <t>Higher Risk Categories (VC, speculative RE, etc.)</t>
  </si>
  <si>
    <t>Cash items and equivalents</t>
  </si>
  <si>
    <t>Gold bullion held in own vaults</t>
  </si>
  <si>
    <t>Fixed assets (property and equipment)</t>
  </si>
  <si>
    <t>Other assets</t>
  </si>
  <si>
    <t>Sub-Total: On-Balance Sheet RWA</t>
  </si>
  <si>
    <t xml:space="preserve">  B. Off-Balance Sheet Exposures</t>
  </si>
  <si>
    <t>Direct credit substitutes (e.g. financial guarantees)</t>
  </si>
  <si>
    <t>Trade finance — documentary credits (LCs, short-term)</t>
  </si>
  <si>
    <t>Trade finance — performance bonds / bid bonds</t>
  </si>
  <si>
    <t>Commitments with original maturity &gt; 1 year</t>
  </si>
  <si>
    <t>Commitments with original maturity ≤ 1 year (or revocable)</t>
  </si>
  <si>
    <t>Repurchase / reverse repo agreements</t>
  </si>
  <si>
    <t>Securities lending / borrowing</t>
  </si>
  <si>
    <t>Derivatives — Current Exposure Method (add-on)</t>
  </si>
  <si>
    <t>Other off-balance sheet items</t>
  </si>
  <si>
    <t>Sub-Total: Off-Balance Sheet RWA</t>
  </si>
  <si>
    <t>TOTAL CREDIT RISK RWA</t>
  </si>
  <si>
    <t>Schedule 3 — Market Risk Capital Charge (Standardized Approach)</t>
  </si>
  <si>
    <t>All figures in SAR '000  |  RWA = Capital Charge × 12.5</t>
  </si>
  <si>
    <t>Risk Sub-Type</t>
  </si>
  <si>
    <t>Net Position / Notional
(SAR '000)</t>
  </si>
  <si>
    <t>Capital Charge
Rate (%)</t>
  </si>
  <si>
    <t>Capital Charge
(SAR '000)</t>
  </si>
  <si>
    <t xml:space="preserve">  Interest Rate Risk</t>
  </si>
  <si>
    <t>Specific Risk — Government &amp; qualifying bonds</t>
  </si>
  <si>
    <t>Specific Risk — Other bonds (rated investment grade)</t>
  </si>
  <si>
    <t>Specific Risk — Other bonds (below investment grade)</t>
  </si>
  <si>
    <t>General Market Risk — Duration method</t>
  </si>
  <si>
    <t>Basis Risk add-on</t>
  </si>
  <si>
    <t>Yield Curve Risk add-on</t>
  </si>
  <si>
    <t xml:space="preserve">  Equity Risk</t>
  </si>
  <si>
    <t>Specific Risk — Individual equity positions</t>
  </si>
  <si>
    <t>General Market Risk — Net portfolio position</t>
  </si>
  <si>
    <t xml:space="preserve">  Foreign Exchange Risk</t>
  </si>
  <si>
    <t>Net open foreign exchange position (all currencies)</t>
  </si>
  <si>
    <t>Gold net open position</t>
  </si>
  <si>
    <t xml:space="preserve">  Commodities Risk</t>
  </si>
  <si>
    <t>Commodities — Simplified approach</t>
  </si>
  <si>
    <t xml:space="preserve">  Options Risk</t>
  </si>
  <si>
    <t>Options — Simplified approach / Delta-plus add-on</t>
  </si>
  <si>
    <t>TOTAL MARKET RISK CAPITAL CHARGE</t>
  </si>
  <si>
    <t>MARKET RISK RWA  (= Capital Charge × 12.5)</t>
  </si>
  <si>
    <t>Schedule 4 — Operational Risk Capital Charge (Standardized Approach)</t>
  </si>
  <si>
    <t>All figures in SAR '000  |  3-year average Gross Income per business line</t>
  </si>
  <si>
    <t>Business Line</t>
  </si>
  <si>
    <t>Gross Income
Year 1 (SAR '000)</t>
  </si>
  <si>
    <t>Gross Income
Year 2 (SAR '000)</t>
  </si>
  <si>
    <t>Gross Income
Year 3 (SAR '000)</t>
  </si>
  <si>
    <t>Beta
Factor (%)</t>
  </si>
  <si>
    <t>Corporate Finance</t>
  </si>
  <si>
    <t>Trading &amp; Sales</t>
  </si>
  <si>
    <t>Retail Banking</t>
  </si>
  <si>
    <t>Commercial Banking</t>
  </si>
  <si>
    <t>Payment &amp; Settlement</t>
  </si>
  <si>
    <t>Agency Services</t>
  </si>
  <si>
    <t>Asset Management</t>
  </si>
  <si>
    <t>Retail Brokerage</t>
  </si>
  <si>
    <t>TOTAL OPERATIONAL RISK CAPITAL CHARGE</t>
  </si>
  <si>
    <t>OPERATIONAL RISK RWA  (= Capital Charge × 12.5)</t>
  </si>
  <si>
    <t>Note: The Standardized Approach (TSA) requires SAMA's approval. Banks using the Basic Indicator Approach (BIA) apply a flat 15% beta to total gross income averaged over 3 years.</t>
  </si>
  <si>
    <t>Schedule 5 — Capital Buffers &amp; Combined Capital Requirement</t>
  </si>
  <si>
    <t>All ratios expressed as % of Total Risk-Weighted Assets</t>
  </si>
  <si>
    <t xml:space="preserve">  Total RWA (reference — from Schedules 2+3+4):</t>
  </si>
  <si>
    <t>Buffer / Requirement</t>
  </si>
  <si>
    <t>Minimum
Basel III (%)</t>
  </si>
  <si>
    <t>SAMA-Set
Rate (%)</t>
  </si>
  <si>
    <t>Bank's
Actual Ratio (%)</t>
  </si>
  <si>
    <t>Surplus /
(Deficit) (%)</t>
  </si>
  <si>
    <t>Pillar 1 Minimum — CET1</t>
  </si>
  <si>
    <t>Pillar 1 Minimum — Tier 1</t>
  </si>
  <si>
    <t>Pillar 1 Minimum — Total Capital</t>
  </si>
  <si>
    <t>D-SIB Surcharge (if designated by SAMA)</t>
  </si>
  <si>
    <t>Other SAMA-prescribed buffers</t>
  </si>
  <si>
    <t>TOTAL CET1 Requirement (incl. buffers)</t>
  </si>
  <si>
    <t>TOTAL Tier 1 Requirement (incl. buffers)</t>
  </si>
  <si>
    <t>TOTAL Total Capital Requirement (incl. buffers)</t>
  </si>
  <si>
    <t xml:space="preserve">  Capital Conservation Buffer — Dividend / Distribution Constraints</t>
  </si>
  <si>
    <t>CET1 Ratio Range (% of RWA)</t>
  </si>
  <si>
    <t>Minimum Capital
Conservation Ratio</t>
  </si>
  <si>
    <t>Maximum Dividend
Payout Ratio</t>
  </si>
  <si>
    <t>4.5% – 5.125%  (within first quartile of buffer)</t>
  </si>
  <si>
    <t>100%</t>
  </si>
  <si>
    <t>0%</t>
  </si>
  <si>
    <t>5.125% – 5.75%  (within second quartile of buffer)</t>
  </si>
  <si>
    <t>80%</t>
  </si>
  <si>
    <t>20%</t>
  </si>
  <si>
    <t>5.75% – 6.375%  (within third quartile of buffer)</t>
  </si>
  <si>
    <t>60%</t>
  </si>
  <si>
    <t>40%</t>
  </si>
  <si>
    <t>6.375% – 7.0%  (within fourth quartile of buffer)</t>
  </si>
  <si>
    <t>Above 7.0%  (full buffer maintained)</t>
  </si>
  <si>
    <t>No restriction</t>
  </si>
  <si>
    <t>Schedule 6 — Reconciliation: Regulatory Capital to Published Financial Statements</t>
  </si>
  <si>
    <t>Published
Financial Statements
(SAR '000)</t>
  </si>
  <si>
    <t>Regulatory
Adjustments
(SAR '000)</t>
  </si>
  <si>
    <t>Regulatory Capital
Figure (SAR '000)</t>
  </si>
  <si>
    <t xml:space="preserve">  Equity (per published balance sheet)</t>
  </si>
  <si>
    <t>Paid-up share capital</t>
  </si>
  <si>
    <t>Share premium</t>
  </si>
  <si>
    <t>Retained earnings</t>
  </si>
  <si>
    <t>Other comprehensive income / reserves</t>
  </si>
  <si>
    <t>Minority interests</t>
  </si>
  <si>
    <t>Total equity per financial statements</t>
  </si>
  <si>
    <t>Less: Goodwill and intangibles (net of deferred tax)</t>
  </si>
  <si>
    <t>Less: Deferred tax assets</t>
  </si>
  <si>
    <t>Less: Cash flow hedge reserve</t>
  </si>
  <si>
    <t>Less: Own shares (treasury stock)</t>
  </si>
  <si>
    <t>Less: Other regulatory deductions</t>
  </si>
  <si>
    <t>Plus: Eligible Tier 2 instruments</t>
  </si>
  <si>
    <t>Plus: General provisions (eligible amount)</t>
  </si>
  <si>
    <t>TOTAL REGULATORY CAPITAL (per Schedule 1)</t>
  </si>
  <si>
    <t>Difference (should be nil — reconciling items)</t>
  </si>
  <si>
    <t xml:space="preserve">  PART B — RWA RECONCILIATION</t>
  </si>
  <si>
    <t>RWA Component</t>
  </si>
  <si>
    <t>% of Total RWA</t>
  </si>
  <si>
    <t>Cross-reference</t>
  </si>
  <si>
    <t>Credit Risk RWA</t>
  </si>
  <si>
    <t>Schedule 2</t>
  </si>
  <si>
    <t>Market Risk RWA</t>
  </si>
  <si>
    <t>Schedule 3</t>
  </si>
  <si>
    <t>Operational Risk RWA</t>
  </si>
  <si>
    <t>Schedule 4</t>
  </si>
  <si>
    <t>TOTAL RWA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</si>
</sst>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18" x14ac:knownFonts="1">
    <font>
      <sz val="11"/>
      <color theme="1"/>
      <name val="Calibri"/>
      <family val="2"/>
      <charset val="1"/>
    </font>
    <font>
      <b/>
      <sz val="16"/>
      <color rgb="FFFFFFFF"/>
      <name val="Arial"/>
      <charset val="1"/>
    </font>
    <font>
      <i/>
      <sz val="10"/>
      <color rgb="FFFFFFFF"/>
      <name val="Arial"/>
      <charset val="1"/>
    </font>
    <font>
      <b/>
      <sz val="9"/>
      <color rgb="FF000000"/>
      <name val="Arial"/>
      <charset val="1"/>
    </font>
    <font>
      <sz val="9"/>
      <color rgb="FF0000FF"/>
      <name val="Arial"/>
      <charset val="1"/>
    </font>
    <font>
      <b/>
      <sz val="9"/>
      <color rgb="FFFFFFFF"/>
      <name val="Arial"/>
      <charset val="1"/>
    </font>
    <font>
      <i/>
      <sz val="8.5"/>
      <color rgb="FF000000"/>
      <name val="Arial"/>
      <charset val="1"/>
    </font>
    <font>
      <b/>
      <sz val="13"/>
      <color rgb="FFFFFFFF"/>
      <name val="Arial"/>
      <charset val="1"/>
    </font>
    <font>
      <i/>
      <sz val="8"/>
      <color rgb="FFFFFFFF"/>
      <name val="Arial"/>
      <charset val="1"/>
    </font>
    <font>
      <sz val="9"/>
      <color rgb="FF000000"/>
      <name val="Arial"/>
      <charset val="1"/>
    </font>
    <font>
      <sz val="9"/>
      <color rgb="FF008000"/>
      <name val="Arial"/>
      <charset val="1"/>
    </font>
    <font>
      <b/>
      <sz val="9"/>
      <color rgb="FF1B3A6B"/>
      <name val="Arial"/>
      <charset val="1"/>
    </font>
    <font>
      <i/>
      <sz val="7.5"/>
      <color rgb="FF444444"/>
      <name val="Arial"/>
      <charset val="1"/>
    </font>
    <font>
      <sz val="8.5"/>
      <color rgb="FF000000"/>
      <name val="Arial"/>
      <charset val="1"/>
    </font>
    <font>
      <sz val="8"/>
      <color rgb="FF000000"/>
      <name val="Arial"/>
      <charset val="1"/>
    </font>
    <font>
      <i/>
      <sz val="8"/>
      <color rgb="FF000000"/>
      <name val="Arial"/>
      <charset val="1"/>
    </font>
    <font>
      <b/>
      <sz val="9"/>
      <color rgb="FF008000"/>
      <name val="Arial"/>
      <charset val="1"/>
    </font>
    <font>
      <i/>
      <sz val="8"/>
      <color rgb="FF444444"/>
      <name val="Arial"/>
      <charset val="1"/>
    </font>
  </fonts>
  <fills count="10">
    <fill>
      <patternFill patternType="none"/>
    </fill>
    <fill>
      <patternFill patternType="gray125"/>
    </fill>
    <fill>
      <patternFill patternType="solid">
        <fgColor rgb="FF1B3A6B"/>
        <bgColor rgb="FF1A5276"/>
      </patternFill>
    </fill>
    <fill>
      <patternFill patternType="solid">
        <fgColor rgb="FF1B6CA8"/>
        <bgColor rgb="FF2E86C1"/>
      </patternFill>
    </fill>
    <fill>
      <patternFill patternType="solid">
        <fgColor rgb="FFD6E4F0"/>
        <bgColor rgb="FFD9E1F2"/>
      </patternFill>
    </fill>
    <fill>
      <patternFill patternType="solid">
        <fgColor rgb="FFFFFF00"/>
        <bgColor rgb="FFFFFF00"/>
      </patternFill>
    </fill>
    <fill>
      <patternFill patternType="solid">
        <fgColor rgb="FFF2F2F2"/>
        <bgColor rgb="FFEAF4FB"/>
      </patternFill>
    </fill>
    <fill>
      <patternFill patternType="solid">
        <fgColor rgb="FFEAF4FB"/>
        <bgColor rgb="FFF2F2F2"/>
      </patternFill>
    </fill>
    <fill>
      <patternFill patternType="solid">
        <fgColor rgb="FFD9E1F2"/>
        <bgColor rgb="FFD6E4F0"/>
      </patternFill>
    </fill>
    <fill>
      <patternFill patternType="solid">
        <fgColor rgb="FFF9F9F9"/>
        <bgColor rgb="FFFFFFFF"/>
      </patternFill>
    </fill>
  </fills>
  <borders count="6">
    <border>
      <left/>
      <right/>
      <top/>
      <bottom/>
      <diagonal/>
    </border>
    <border>
      <left style="thin">
        <color rgb="FFB0BEC5"/>
      </left>
      <right style="thin">
        <color rgb="FFB0BEC5"/>
      </right>
      <top style="thin">
        <color rgb="FFB0BEC5"/>
      </top>
      <bottom style="thin">
        <color rgb="FFB0BEC5"/>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style="thin">
        <color rgb="FF1B3A6B"/>
      </left>
      <right style="thin">
        <color rgb="FF1B3A6B"/>
      </right>
      <top style="thin">
        <color rgb="FF1B3A6B"/>
      </top>
      <bottom style="thin">
        <color rgb="FF1B3A6B"/>
      </bottom>
      <diagonal/>
    </border>
    <border>
      <left style="thin">
        <color rgb="FFB0BEC5"/>
      </left>
      <right/>
      <top style="thin">
        <color rgb="FFB0BEC5"/>
      </top>
      <bottom style="thin">
        <color rgb="FFB0BEC5"/>
      </bottom>
      <diagonal/>
    </border>
  </borders>
  <cellStyleXfs count="1">
    <xf numFmtId="0" fontId="0" fillId="0" borderId="0"/>
  </cellStyleXfs>
  <cellXfs count="65">
    <xf numFmtId="0" fontId="0" fillId="0" borderId="0" xfId="0"/>
    <xf numFmtId="0" fontId="3" fillId="4" borderId="5" xfId="0" applyFont="1" applyFill="1" applyBorder="1"/>
    <xf numFmtId="0" fontId="15" fillId="6" borderId="0" xfId="0" applyFont="1" applyFill="1" applyAlignment="1">
      <alignment horizontal="left" wrapText="1"/>
    </xf>
    <xf numFmtId="0" fontId="5" fillId="2" borderId="3" xfId="0" applyFont="1" applyFill="1" applyBorder="1" applyAlignment="1">
      <alignment horizontal="left" vertical="center"/>
    </xf>
    <xf numFmtId="0" fontId="12" fillId="9" borderId="0" xfId="0" applyFont="1" applyFill="1" applyAlignment="1">
      <alignment horizontal="left" vertical="center"/>
    </xf>
    <xf numFmtId="0" fontId="5" fillId="3" borderId="3" xfId="0" applyFont="1" applyFill="1" applyBorder="1" applyAlignment="1">
      <alignment horizontal="left" vertical="center"/>
    </xf>
    <xf numFmtId="0" fontId="3" fillId="4" borderId="0" xfId="0" applyFont="1" applyFill="1"/>
    <xf numFmtId="0" fontId="8" fillId="3" borderId="0" xfId="0" applyFont="1" applyFill="1" applyAlignment="1">
      <alignment horizontal="center" vertical="center"/>
    </xf>
    <xf numFmtId="0" fontId="7" fillId="2" borderId="0" xfId="0" applyFont="1" applyFill="1" applyAlignment="1">
      <alignment horizontal="center" vertical="center"/>
    </xf>
    <xf numFmtId="0" fontId="6" fillId="6" borderId="0" xfId="0" applyFont="1" applyFill="1" applyAlignment="1">
      <alignment horizontal="left" vertical="top" wrapText="1"/>
    </xf>
    <xf numFmtId="0" fontId="5" fillId="2"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4" borderId="1" xfId="0" applyFont="1" applyFill="1" applyBorder="1" applyAlignment="1">
      <alignment horizontal="left" vertical="center"/>
    </xf>
    <xf numFmtId="0" fontId="4" fillId="5" borderId="1" xfId="0" applyFont="1" applyFill="1" applyBorder="1"/>
    <xf numFmtId="0" fontId="3" fillId="0" borderId="0" xfId="0" applyFont="1"/>
    <xf numFmtId="0" fontId="0" fillId="5" borderId="1" xfId="0" applyFill="1" applyBorder="1"/>
    <xf numFmtId="0" fontId="3" fillId="5" borderId="0" xfId="0" applyFont="1" applyFill="1"/>
    <xf numFmtId="0" fontId="0" fillId="5" borderId="0" xfId="0" applyFill="1"/>
    <xf numFmtId="0" fontId="5" fillId="2" borderId="2" xfId="0" applyFont="1" applyFill="1" applyBorder="1" applyAlignment="1">
      <alignment horizontal="center" vertical="center"/>
    </xf>
    <xf numFmtId="0" fontId="9" fillId="4" borderId="1" xfId="0" applyFont="1" applyFill="1" applyBorder="1" applyAlignment="1">
      <alignment horizontal="left" vertical="center"/>
    </xf>
    <xf numFmtId="164" fontId="10" fillId="4" borderId="1" xfId="0" applyNumberFormat="1" applyFont="1" applyFill="1" applyBorder="1" applyAlignment="1">
      <alignment horizontal="right" vertical="center"/>
    </xf>
    <xf numFmtId="165" fontId="9" fillId="4" borderId="1" xfId="0" applyNumberFormat="1" applyFont="1" applyFill="1" applyBorder="1" applyAlignment="1">
      <alignment horizontal="right" vertical="center"/>
    </xf>
    <xf numFmtId="0" fontId="11" fillId="4" borderId="1" xfId="0" applyFont="1" applyFill="1" applyBorder="1" applyAlignment="1">
      <alignment horizontal="center" vertical="center"/>
    </xf>
    <xf numFmtId="0" fontId="9" fillId="7" borderId="1" xfId="0" applyFont="1" applyFill="1" applyBorder="1" applyAlignment="1">
      <alignment horizontal="left" vertical="center"/>
    </xf>
    <xf numFmtId="164" fontId="10" fillId="7" borderId="1" xfId="0" applyNumberFormat="1" applyFont="1" applyFill="1" applyBorder="1" applyAlignment="1">
      <alignment horizontal="right" vertical="center"/>
    </xf>
    <xf numFmtId="0" fontId="9" fillId="7" borderId="1" xfId="0" applyFont="1" applyFill="1" applyBorder="1" applyAlignment="1">
      <alignment horizontal="right" vertical="center"/>
    </xf>
    <xf numFmtId="0" fontId="3" fillId="7" borderId="1" xfId="0" applyFont="1" applyFill="1" applyBorder="1" applyAlignment="1">
      <alignment horizontal="center" vertical="center"/>
    </xf>
    <xf numFmtId="0" fontId="9" fillId="4" borderId="1" xfId="0" applyFont="1" applyFill="1" applyBorder="1" applyAlignment="1">
      <alignment horizontal="right" vertical="center"/>
    </xf>
    <xf numFmtId="0" fontId="3" fillId="7" borderId="1" xfId="0" applyFont="1" applyFill="1" applyBorder="1" applyAlignment="1">
      <alignment horizontal="left" vertical="center"/>
    </xf>
    <xf numFmtId="0" fontId="9" fillId="4" borderId="1" xfId="0" applyFont="1" applyFill="1" applyBorder="1"/>
    <xf numFmtId="165" fontId="4" fillId="5" borderId="1" xfId="0" applyNumberFormat="1" applyFont="1" applyFill="1" applyBorder="1" applyAlignment="1">
      <alignment horizontal="right" vertical="center"/>
    </xf>
    <xf numFmtId="165" fontId="4" fillId="5" borderId="1" xfId="0" applyNumberFormat="1" applyFont="1" applyFill="1" applyBorder="1"/>
    <xf numFmtId="0" fontId="9" fillId="4" borderId="1" xfId="0" applyFont="1" applyFill="1" applyBorder="1" applyAlignment="1">
      <alignment horizontal="center" vertical="center"/>
    </xf>
    <xf numFmtId="0" fontId="9" fillId="7" borderId="1" xfId="0" applyFont="1" applyFill="1" applyBorder="1"/>
    <xf numFmtId="165" fontId="9" fillId="7" borderId="1" xfId="0" applyNumberFormat="1" applyFont="1" applyFill="1" applyBorder="1" applyAlignment="1">
      <alignment horizontal="right" vertical="center"/>
    </xf>
    <xf numFmtId="0" fontId="9" fillId="7" borderId="1" xfId="0" applyFont="1" applyFill="1" applyBorder="1" applyAlignment="1">
      <alignment horizontal="center" vertical="center"/>
    </xf>
    <xf numFmtId="0" fontId="3" fillId="8" borderId="1" xfId="0" applyFont="1" applyFill="1" applyBorder="1"/>
    <xf numFmtId="165" fontId="3" fillId="8" borderId="1" xfId="0" applyNumberFormat="1" applyFont="1" applyFill="1" applyBorder="1" applyAlignment="1">
      <alignment horizontal="right" vertical="center"/>
    </xf>
    <xf numFmtId="165" fontId="9" fillId="8" borderId="1" xfId="0" applyNumberFormat="1" applyFont="1" applyFill="1" applyBorder="1"/>
    <xf numFmtId="0" fontId="3" fillId="8" borderId="1" xfId="0" applyFont="1" applyFill="1" applyBorder="1" applyAlignment="1">
      <alignment horizontal="right" vertical="center"/>
    </xf>
    <xf numFmtId="0" fontId="9" fillId="8" borderId="1" xfId="0" applyFont="1" applyFill="1" applyBorder="1" applyAlignment="1">
      <alignment horizontal="center" vertical="center"/>
    </xf>
    <xf numFmtId="0" fontId="4" fillId="5" borderId="1" xfId="0" applyFont="1" applyFill="1" applyBorder="1" applyAlignment="1">
      <alignment horizontal="right" vertical="center"/>
    </xf>
    <xf numFmtId="164" fontId="9" fillId="4" borderId="1" xfId="0" applyNumberFormat="1" applyFont="1" applyFill="1" applyBorder="1" applyAlignment="1">
      <alignment horizontal="right" vertical="center"/>
    </xf>
    <xf numFmtId="164" fontId="9" fillId="7" borderId="1" xfId="0" applyNumberFormat="1" applyFont="1" applyFill="1" applyBorder="1" applyAlignment="1">
      <alignment horizontal="right" vertical="center"/>
    </xf>
    <xf numFmtId="0" fontId="3" fillId="8" borderId="4" xfId="0" applyFont="1" applyFill="1" applyBorder="1" applyAlignment="1">
      <alignment horizontal="left" vertical="center"/>
    </xf>
    <xf numFmtId="164" fontId="3" fillId="8" borderId="4" xfId="0" applyNumberFormat="1" applyFont="1" applyFill="1" applyBorder="1" applyAlignment="1">
      <alignment horizontal="right" vertical="center"/>
    </xf>
    <xf numFmtId="164" fontId="3" fillId="8" borderId="4" xfId="0" applyNumberFormat="1" applyFont="1" applyFill="1" applyBorder="1" applyAlignment="1">
      <alignment horizontal="left" vertical="center"/>
    </xf>
    <xf numFmtId="0" fontId="13" fillId="4" borderId="1" xfId="0" applyFont="1" applyFill="1" applyBorder="1" applyAlignment="1">
      <alignment horizontal="left" vertical="center" wrapText="1"/>
    </xf>
    <xf numFmtId="164" fontId="4" fillId="5" borderId="1" xfId="0" applyNumberFormat="1" applyFont="1" applyFill="1" applyBorder="1" applyAlignment="1">
      <alignment horizontal="right" vertical="center"/>
    </xf>
    <xf numFmtId="0" fontId="14" fillId="4" borderId="1" xfId="0" applyFont="1" applyFill="1" applyBorder="1" applyAlignment="1">
      <alignment horizontal="center" vertical="center"/>
    </xf>
    <xf numFmtId="166" fontId="4" fillId="5" borderId="1" xfId="0" applyNumberFormat="1" applyFont="1" applyFill="1" applyBorder="1" applyAlignment="1">
      <alignment horizontal="right" vertical="center"/>
    </xf>
    <xf numFmtId="0" fontId="13" fillId="7" borderId="1" xfId="0" applyFont="1" applyFill="1" applyBorder="1" applyAlignment="1">
      <alignment horizontal="left" vertical="center" wrapText="1"/>
    </xf>
    <xf numFmtId="0" fontId="14" fillId="7" borderId="1" xfId="0" applyFont="1" applyFill="1" applyBorder="1" applyAlignment="1">
      <alignment horizontal="center" vertical="center"/>
    </xf>
    <xf numFmtId="0" fontId="4" fillId="6" borderId="1" xfId="0" applyFont="1" applyFill="1" applyBorder="1" applyAlignment="1">
      <alignment horizontal="right" vertical="center"/>
    </xf>
    <xf numFmtId="165" fontId="10" fillId="4" borderId="1" xfId="0" applyNumberFormat="1" applyFont="1" applyFill="1" applyBorder="1" applyAlignment="1">
      <alignment horizontal="right" vertical="center"/>
    </xf>
    <xf numFmtId="165" fontId="10" fillId="7" borderId="1" xfId="0" applyNumberFormat="1" applyFont="1" applyFill="1" applyBorder="1" applyAlignment="1">
      <alignment horizontal="right" vertical="center"/>
    </xf>
    <xf numFmtId="165" fontId="4" fillId="7" borderId="1" xfId="0" applyNumberFormat="1" applyFont="1" applyFill="1" applyBorder="1" applyAlignment="1">
      <alignment horizontal="right" vertical="center"/>
    </xf>
    <xf numFmtId="165" fontId="4" fillId="4" borderId="1" xfId="0" applyNumberFormat="1" applyFont="1" applyFill="1" applyBorder="1" applyAlignment="1">
      <alignment horizontal="right" vertical="center"/>
    </xf>
    <xf numFmtId="165" fontId="9" fillId="8" borderId="1" xfId="0" applyNumberFormat="1" applyFont="1" applyFill="1" applyBorder="1" applyAlignment="1">
      <alignment horizontal="right" vertical="center"/>
    </xf>
    <xf numFmtId="165" fontId="16" fillId="8" borderId="1" xfId="0" applyNumberFormat="1" applyFont="1" applyFill="1" applyBorder="1" applyAlignment="1">
      <alignment horizontal="right" vertical="center"/>
    </xf>
    <xf numFmtId="164" fontId="3" fillId="8" borderId="1" xfId="0" applyNumberFormat="1" applyFont="1" applyFill="1" applyBorder="1" applyAlignment="1">
      <alignment horizontal="right" vertical="center"/>
    </xf>
    <xf numFmtId="0" fontId="17" fillId="4" borderId="1" xfId="0" applyFont="1" applyFill="1" applyBorder="1"/>
    <xf numFmtId="0" fontId="17" fillId="7" borderId="1" xfId="0" applyFont="1" applyFill="1" applyBorder="1"/>
    <xf numFmtId="165" fontId="3" fillId="8" borderId="4"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7770D"/>
      <rgbColor rgb="FF800080"/>
      <rgbColor rgb="FF117A65"/>
      <rgbColor rgb="FFB0BEC5"/>
      <rgbColor rgb="FF888888"/>
      <rgbColor rgb="FF9999FF"/>
      <rgbColor rgb="FF6E2F8E"/>
      <rgbColor rgb="FFF9F9F9"/>
      <rgbColor rgb="FFEAF4FB"/>
      <rgbColor rgb="FF660066"/>
      <rgbColor rgb="FFFF8080"/>
      <rgbColor rgb="FF1B6CA8"/>
      <rgbColor rgb="FFD9E1F2"/>
      <rgbColor rgb="FF000080"/>
      <rgbColor rgb="FFFF00FF"/>
      <rgbColor rgb="FFFFFF00"/>
      <rgbColor rgb="FF00FFFF"/>
      <rgbColor rgb="FF800080"/>
      <rgbColor rgb="FF800000"/>
      <rgbColor rgb="FF008080"/>
      <rgbColor rgb="FF0000FF"/>
      <rgbColor rgb="FF00CCFF"/>
      <rgbColor rgb="FFD6E4F0"/>
      <rgbColor rgb="FFF2F2F2"/>
      <rgbColor rgb="FFFFFF99"/>
      <rgbColor rgb="FF99CCFF"/>
      <rgbColor rgb="FFFF99CC"/>
      <rgbColor rgb="FFCC99FF"/>
      <rgbColor rgb="FFFFCC99"/>
      <rgbColor rgb="FF2E86C1"/>
      <rgbColor rgb="FF33CCCC"/>
      <rgbColor rgb="FF99CC00"/>
      <rgbColor rgb="FFFFCC00"/>
      <rgbColor rgb="FFFF9900"/>
      <rgbColor rgb="FFFF6600"/>
      <rgbColor rgb="FF666699"/>
      <rgbColor rgb="FF969696"/>
      <rgbColor rgb="FF1B3A6B"/>
      <rgbColor rgb="FF339966"/>
      <rgbColor rgb="FF003300"/>
      <rgbColor rgb="FF333300"/>
      <rgbColor rgb="FF922B21"/>
      <rgbColor rgb="FF993366"/>
      <rgbColor rgb="FF1A5276"/>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6B"/>
  </sheetPr>
  <dimension ref="B2:D22"/>
  <sheetViews>
    <sheetView topLeftCell="A2" zoomScaleNormal="100" workbookViewId="0">
      <selection activeCell="B10" sqref="B10"/>
    </sheetView>
  </sheetViews>
  <sheetFormatPr defaultColWidth="8.6640625" defaultRowHeight="14.4" x14ac:dyDescent="0.3"/>
  <cols>
    <col min="1" max="1" width="2" customWidth="1"/>
    <col min="2" max="2" width="28" customWidth="1"/>
    <col min="3" max="3" width="35" customWidth="1"/>
    <col min="4" max="4" width="28" customWidth="1"/>
    <col min="5" max="5" width="2" customWidth="1"/>
  </cols>
  <sheetData>
    <row r="2" spans="2:4" ht="33.75" customHeight="1" x14ac:dyDescent="0.3">
      <c r="B2" s="12" t="s">
        <v>0</v>
      </c>
      <c r="C2" s="12"/>
      <c r="D2" s="12"/>
    </row>
    <row r="3" spans="2:4" ht="18" customHeight="1" x14ac:dyDescent="0.3">
      <c r="B3" s="11" t="s">
        <v>1</v>
      </c>
      <c r="C3" s="11"/>
      <c r="D3" s="11"/>
    </row>
    <row r="5" spans="2:4" ht="18" customHeight="1" x14ac:dyDescent="0.3">
      <c r="B5" s="13" t="s">
        <v>2</v>
      </c>
      <c r="C5" s="14"/>
    </row>
    <row r="6" spans="2:4" ht="18" customHeight="1" x14ac:dyDescent="0.3">
      <c r="B6" s="13" t="s">
        <v>3</v>
      </c>
      <c r="C6" s="14"/>
    </row>
    <row r="7" spans="2:4" ht="18" customHeight="1" x14ac:dyDescent="0.3">
      <c r="B7" s="13" t="s">
        <v>4</v>
      </c>
      <c r="C7" s="14" t="s">
        <v>5</v>
      </c>
    </row>
    <row r="8" spans="2:4" ht="18" customHeight="1" x14ac:dyDescent="0.3">
      <c r="B8" s="13" t="s">
        <v>6</v>
      </c>
      <c r="C8" s="14" t="s">
        <v>7</v>
      </c>
    </row>
    <row r="9" spans="2:4" ht="18" customHeight="1" x14ac:dyDescent="0.3">
      <c r="B9" s="13" t="s">
        <v>8</v>
      </c>
      <c r="C9" s="14" t="s">
        <v>7</v>
      </c>
    </row>
    <row r="10" spans="2:4" ht="18" customHeight="1" x14ac:dyDescent="0.3">
      <c r="B10" s="13" t="s">
        <v>9</v>
      </c>
      <c r="C10" s="14"/>
    </row>
    <row r="11" spans="2:4" ht="18" customHeight="1" x14ac:dyDescent="0.3">
      <c r="B11" s="13" t="s">
        <v>10</v>
      </c>
      <c r="C11" s="14"/>
    </row>
    <row r="12" spans="2:4" ht="18" customHeight="1" x14ac:dyDescent="0.3">
      <c r="B12" s="13" t="s">
        <v>11</v>
      </c>
      <c r="C12" s="14"/>
    </row>
    <row r="13" spans="2:4" ht="18" customHeight="1" x14ac:dyDescent="0.3">
      <c r="B13" s="13" t="s">
        <v>12</v>
      </c>
      <c r="C13" s="14" t="s">
        <v>13</v>
      </c>
    </row>
    <row r="14" spans="2:4" ht="18" customHeight="1" x14ac:dyDescent="0.3">
      <c r="B14" s="13" t="s">
        <v>14</v>
      </c>
      <c r="C14" s="14" t="s">
        <v>15</v>
      </c>
    </row>
    <row r="16" spans="2:4" ht="15.75" customHeight="1" x14ac:dyDescent="0.3">
      <c r="B16" s="10" t="s">
        <v>16</v>
      </c>
      <c r="C16" s="10"/>
      <c r="D16" s="10"/>
    </row>
    <row r="17" spans="2:4" ht="31.5" customHeight="1" x14ac:dyDescent="0.3">
      <c r="B17" s="9" t="s">
        <v>17</v>
      </c>
      <c r="C17" s="9"/>
      <c r="D17" s="9"/>
    </row>
    <row r="18" spans="2:4" ht="13.5" customHeight="1" x14ac:dyDescent="0.3">
      <c r="B18" s="9"/>
      <c r="C18" s="9"/>
      <c r="D18" s="9"/>
    </row>
    <row r="20" spans="2:4" ht="18" customHeight="1" x14ac:dyDescent="0.3">
      <c r="B20" s="15" t="s">
        <v>18</v>
      </c>
      <c r="C20" s="16"/>
    </row>
    <row r="21" spans="2:4" ht="18" customHeight="1" x14ac:dyDescent="0.3">
      <c r="B21" s="15" t="s">
        <v>19</v>
      </c>
      <c r="C21" s="16"/>
    </row>
    <row r="22" spans="2:4" ht="18" customHeight="1" x14ac:dyDescent="0.3">
      <c r="B22" s="15" t="s">
        <v>20</v>
      </c>
      <c r="C22" s="16"/>
    </row>
  </sheetData>
  <mergeCells count="4">
    <mergeCell ref="B2:D2"/>
    <mergeCell ref="B3:D3"/>
    <mergeCell ref="B16:D16"/>
    <mergeCell ref="B17:D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6CA8"/>
  </sheetPr>
  <dimension ref="A1:F22"/>
  <sheetViews>
    <sheetView zoomScaleNormal="100" workbookViewId="0">
      <pane xSplit="2" ySplit="5" topLeftCell="C6" activePane="bottomRight" state="frozen"/>
      <selection pane="topRight" activeCell="C1" sqref="C1"/>
      <selection pane="bottomLeft" activeCell="A6" sqref="A6"/>
      <selection pane="bottomRight" activeCell="C7" sqref="C7"/>
    </sheetView>
  </sheetViews>
  <sheetFormatPr defaultColWidth="8.6640625" defaultRowHeight="14.4" x14ac:dyDescent="0.3"/>
  <cols>
    <col min="1" max="1" width="1" customWidth="1"/>
    <col min="2" max="2" width="42" customWidth="1"/>
    <col min="3" max="4" width="18" customWidth="1"/>
    <col min="5" max="6" width="14" customWidth="1"/>
    <col min="7" max="7" width="2" customWidth="1"/>
  </cols>
  <sheetData>
    <row r="1" spans="1:6" ht="27.75" customHeight="1" x14ac:dyDescent="0.3">
      <c r="A1" s="8" t="s">
        <v>21</v>
      </c>
      <c r="B1" s="8"/>
      <c r="C1" s="8"/>
      <c r="D1" s="8"/>
      <c r="E1" s="8"/>
      <c r="F1" s="8"/>
    </row>
    <row r="2" spans="1:6" ht="13.5" customHeight="1" x14ac:dyDescent="0.3">
      <c r="A2" s="7" t="s">
        <v>22</v>
      </c>
      <c r="B2" s="7"/>
      <c r="C2" s="7"/>
      <c r="D2" s="7"/>
      <c r="E2" s="7"/>
      <c r="F2" s="7"/>
    </row>
    <row r="4" spans="1:6" ht="15.75" customHeight="1" x14ac:dyDescent="0.3">
      <c r="B4" s="6" t="s">
        <v>23</v>
      </c>
      <c r="C4" s="6"/>
      <c r="D4" s="17"/>
      <c r="E4" s="18"/>
    </row>
    <row r="6" spans="1:6" ht="19.5" customHeight="1" x14ac:dyDescent="0.3">
      <c r="B6" s="19" t="s">
        <v>24</v>
      </c>
      <c r="C6" s="19" t="s">
        <v>25</v>
      </c>
      <c r="D6" s="19" t="s">
        <v>26</v>
      </c>
      <c r="E6" s="19" t="s">
        <v>27</v>
      </c>
      <c r="F6" s="19" t="s">
        <v>28</v>
      </c>
    </row>
    <row r="7" spans="1:6" ht="15.75" customHeight="1" x14ac:dyDescent="0.3">
      <c r="B7" s="20" t="s">
        <v>29</v>
      </c>
      <c r="C7" s="21" t="str">
        <f>'Schedule 1'!E11</f>
        <v/>
      </c>
      <c r="D7" s="21">
        <f>'Schedule 2'!E55+'Schedule 3'!E24+'Schedule 4'!E15</f>
        <v>0</v>
      </c>
      <c r="E7" s="22" t="str">
        <f>IF(D7&lt;&gt;0,C7/D7,"-")</f>
        <v>-</v>
      </c>
      <c r="F7" s="23" t="s">
        <v>30</v>
      </c>
    </row>
    <row r="8" spans="1:6" ht="15.75" customHeight="1" x14ac:dyDescent="0.3">
      <c r="B8" s="24" t="s">
        <v>31</v>
      </c>
      <c r="C8" s="25" t="str">
        <f>'Schedule 1'!E18</f>
        <v/>
      </c>
      <c r="D8" s="26" t="s">
        <v>32</v>
      </c>
      <c r="E8" s="26" t="s">
        <v>32</v>
      </c>
      <c r="F8" s="27" t="s">
        <v>32</v>
      </c>
    </row>
    <row r="9" spans="1:6" ht="15.75" customHeight="1" x14ac:dyDescent="0.3">
      <c r="B9" s="13" t="s">
        <v>33</v>
      </c>
      <c r="C9" s="21" t="str">
        <f>'Schedule 1'!E21</f>
        <v/>
      </c>
      <c r="D9" s="28" t="s">
        <v>32</v>
      </c>
      <c r="E9" s="22" t="str">
        <f>IF($D$12&lt;&gt;0,C9/$D$12,"-")</f>
        <v>-</v>
      </c>
      <c r="F9" s="23" t="s">
        <v>34</v>
      </c>
    </row>
    <row r="10" spans="1:6" ht="15.75" customHeight="1" x14ac:dyDescent="0.3">
      <c r="B10" s="24" t="s">
        <v>35</v>
      </c>
      <c r="C10" s="25" t="str">
        <f>'Schedule 1'!E29</f>
        <v/>
      </c>
      <c r="D10" s="26" t="s">
        <v>32</v>
      </c>
      <c r="E10" s="26" t="s">
        <v>32</v>
      </c>
      <c r="F10" s="27" t="s">
        <v>32</v>
      </c>
    </row>
    <row r="11" spans="1:6" ht="15.75" customHeight="1" x14ac:dyDescent="0.3">
      <c r="B11" s="13" t="s">
        <v>36</v>
      </c>
      <c r="C11" s="21">
        <f>'Schedule 1'!E32</f>
        <v>0</v>
      </c>
      <c r="D11" s="28" t="s">
        <v>32</v>
      </c>
      <c r="E11" s="22" t="str">
        <f>IF($D$12&lt;&gt;0,C11/$D$12,"-")</f>
        <v>-</v>
      </c>
      <c r="F11" s="23" t="s">
        <v>37</v>
      </c>
    </row>
    <row r="12" spans="1:6" ht="15.75" customHeight="1" x14ac:dyDescent="0.3">
      <c r="B12" s="29" t="s">
        <v>38</v>
      </c>
      <c r="C12" s="26" t="s">
        <v>32</v>
      </c>
      <c r="D12" s="25">
        <f>'Schedule 2'!E55+'Schedule 3'!E24+'Schedule 4'!E15</f>
        <v>0</v>
      </c>
      <c r="E12" s="26" t="s">
        <v>32</v>
      </c>
      <c r="F12" s="27" t="s">
        <v>32</v>
      </c>
    </row>
    <row r="14" spans="1:6" ht="15.75" customHeight="1" x14ac:dyDescent="0.3">
      <c r="B14" s="5" t="s">
        <v>39</v>
      </c>
      <c r="C14" s="5"/>
      <c r="D14" s="5"/>
      <c r="E14" s="5"/>
      <c r="F14" s="5"/>
    </row>
    <row r="15" spans="1:6" ht="18" customHeight="1" x14ac:dyDescent="0.3">
      <c r="B15" s="19" t="s">
        <v>40</v>
      </c>
      <c r="C15" s="19" t="s">
        <v>41</v>
      </c>
      <c r="D15" s="19" t="s">
        <v>42</v>
      </c>
      <c r="E15" s="19" t="s">
        <v>43</v>
      </c>
      <c r="F15" s="19" t="s">
        <v>44</v>
      </c>
    </row>
    <row r="16" spans="1:6" ht="15.75" customHeight="1" x14ac:dyDescent="0.3">
      <c r="B16" s="30" t="s">
        <v>45</v>
      </c>
      <c r="C16" s="31" t="s">
        <v>46</v>
      </c>
      <c r="D16" s="32"/>
      <c r="E16" s="22">
        <f>D16-C16</f>
        <v>-2.5000000000000001E-2</v>
      </c>
      <c r="F16" s="33" t="str">
        <f>IF(D16&gt;=C16,"✓ Compliant","✗ Breach")</f>
        <v>✗ Breach</v>
      </c>
    </row>
    <row r="17" spans="1:6" ht="15.75" customHeight="1" x14ac:dyDescent="0.3">
      <c r="B17" s="34" t="s">
        <v>47</v>
      </c>
      <c r="C17" s="31" t="s">
        <v>48</v>
      </c>
      <c r="D17" s="32"/>
      <c r="E17" s="35">
        <f>D17-C17</f>
        <v>0</v>
      </c>
      <c r="F17" s="36" t="str">
        <f>IF(D17&gt;=C17,"✓ Compliant","✗ Breach")</f>
        <v>✗ Breach</v>
      </c>
    </row>
    <row r="18" spans="1:6" ht="15.75" customHeight="1" x14ac:dyDescent="0.3">
      <c r="B18" s="30" t="s">
        <v>49</v>
      </c>
      <c r="C18" s="31" t="s">
        <v>50</v>
      </c>
      <c r="D18" s="32"/>
      <c r="E18" s="22">
        <f>D18-C18</f>
        <v>-0.01</v>
      </c>
      <c r="F18" s="33" t="str">
        <f>IF(D18&gt;=C18,"✓ Compliant","✗ Breach")</f>
        <v>✗ Breach</v>
      </c>
    </row>
    <row r="19" spans="1:6" ht="15.75" customHeight="1" x14ac:dyDescent="0.3">
      <c r="B19" s="37" t="s">
        <v>51</v>
      </c>
      <c r="C19" s="38">
        <f>C16+C17+C18</f>
        <v>3.5000000000000003E-2</v>
      </c>
      <c r="D19" s="39"/>
      <c r="E19" s="40"/>
      <c r="F19" s="41"/>
    </row>
    <row r="22" spans="1:6" ht="12" customHeight="1" x14ac:dyDescent="0.3">
      <c r="A22" s="4" t="s">
        <v>52</v>
      </c>
      <c r="B22" s="4"/>
      <c r="C22" s="4"/>
      <c r="D22" s="4"/>
      <c r="E22" s="4"/>
      <c r="F22" s="4"/>
    </row>
  </sheetData>
  <mergeCells count="5">
    <mergeCell ref="A1:F1"/>
    <mergeCell ref="A2:F2"/>
    <mergeCell ref="B4:C4"/>
    <mergeCell ref="B14:F14"/>
    <mergeCell ref="A22:F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86C1"/>
  </sheetPr>
  <dimension ref="A1:E55"/>
  <sheetViews>
    <sheetView zoomScaleNormal="100" workbookViewId="0">
      <pane xSplit="2" ySplit="6" topLeftCell="C7" activePane="bottomRight" state="frozen"/>
      <selection pane="topRight" activeCell="C1" sqref="C1"/>
      <selection pane="bottomLeft" activeCell="A7" sqref="A7"/>
      <selection pane="bottomRight" activeCell="E33" sqref="E33"/>
    </sheetView>
  </sheetViews>
  <sheetFormatPr defaultColWidth="8.6640625" defaultRowHeight="14.4" x14ac:dyDescent="0.3"/>
  <cols>
    <col min="1" max="1" width="1" customWidth="1"/>
    <col min="2" max="2" width="71.21875" bestFit="1" customWidth="1"/>
    <col min="3" max="3" width="21.44140625" bestFit="1" customWidth="1"/>
    <col min="4" max="4" width="20.44140625" bestFit="1" customWidth="1"/>
    <col min="5" max="5" width="28.109375" bestFit="1" customWidth="1"/>
    <col min="6" max="6" width="2" customWidth="1"/>
  </cols>
  <sheetData>
    <row r="1" spans="1:5" ht="27.75" customHeight="1" x14ac:dyDescent="0.3">
      <c r="A1" s="8" t="s">
        <v>53</v>
      </c>
      <c r="B1" s="8"/>
      <c r="C1" s="8"/>
      <c r="D1" s="8"/>
      <c r="E1" s="8"/>
    </row>
    <row r="2" spans="1:5" ht="13.5" customHeight="1" x14ac:dyDescent="0.3">
      <c r="A2" s="7" t="s">
        <v>54</v>
      </c>
      <c r="B2" s="7"/>
      <c r="C2" s="7"/>
      <c r="D2" s="7"/>
      <c r="E2" s="7"/>
    </row>
    <row r="4" spans="1:5" ht="12" customHeight="1" x14ac:dyDescent="0.3">
      <c r="A4" s="4" t="s">
        <v>52</v>
      </c>
      <c r="B4" s="4"/>
      <c r="C4" s="4"/>
      <c r="D4" s="4"/>
      <c r="E4" s="4"/>
    </row>
    <row r="5" spans="1:5" ht="27.75" customHeight="1" x14ac:dyDescent="0.3">
      <c r="B5" s="19" t="s">
        <v>55</v>
      </c>
      <c r="C5" s="19" t="s">
        <v>56</v>
      </c>
      <c r="D5" s="19" t="s">
        <v>57</v>
      </c>
      <c r="E5" s="19" t="s">
        <v>58</v>
      </c>
    </row>
    <row r="6" spans="1:5" ht="15.75" customHeight="1" x14ac:dyDescent="0.3">
      <c r="B6" s="3" t="s">
        <v>59</v>
      </c>
      <c r="C6" s="3"/>
      <c r="D6" s="3"/>
      <c r="E6" s="3"/>
    </row>
    <row r="7" spans="1:5" ht="15" customHeight="1" x14ac:dyDescent="0.3">
      <c r="B7" s="30" t="s">
        <v>60</v>
      </c>
      <c r="C7" s="42"/>
      <c r="D7" s="42"/>
      <c r="E7" s="43" t="str">
        <f t="shared" ref="E7:E13" si="0">IF(C7="","",C7)</f>
        <v/>
      </c>
    </row>
    <row r="8" spans="1:5" ht="15" customHeight="1" x14ac:dyDescent="0.3">
      <c r="B8" s="34" t="s">
        <v>61</v>
      </c>
      <c r="C8" s="42"/>
      <c r="D8" s="42"/>
      <c r="E8" s="44" t="str">
        <f t="shared" si="0"/>
        <v/>
      </c>
    </row>
    <row r="9" spans="1:5" ht="15" customHeight="1" x14ac:dyDescent="0.3">
      <c r="B9" s="30" t="s">
        <v>62</v>
      </c>
      <c r="C9" s="42"/>
      <c r="D9" s="42"/>
      <c r="E9" s="43" t="str">
        <f t="shared" si="0"/>
        <v/>
      </c>
    </row>
    <row r="10" spans="1:5" ht="15" customHeight="1" x14ac:dyDescent="0.3">
      <c r="B10" s="34" t="s">
        <v>63</v>
      </c>
      <c r="C10" s="42"/>
      <c r="D10" s="42"/>
      <c r="E10" s="44" t="str">
        <f t="shared" si="0"/>
        <v/>
      </c>
    </row>
    <row r="11" spans="1:5" ht="15" customHeight="1" x14ac:dyDescent="0.3">
      <c r="B11" s="30" t="s">
        <v>64</v>
      </c>
      <c r="C11" s="42"/>
      <c r="D11" s="42"/>
      <c r="E11" s="43" t="str">
        <f t="shared" si="0"/>
        <v/>
      </c>
    </row>
    <row r="12" spans="1:5" ht="15" customHeight="1" x14ac:dyDescent="0.3">
      <c r="B12" s="34" t="s">
        <v>65</v>
      </c>
      <c r="C12" s="42"/>
      <c r="D12" s="42"/>
      <c r="E12" s="44" t="str">
        <f t="shared" si="0"/>
        <v/>
      </c>
    </row>
    <row r="13" spans="1:5" ht="15" customHeight="1" x14ac:dyDescent="0.3">
      <c r="B13" s="30" t="s">
        <v>66</v>
      </c>
      <c r="C13" s="42"/>
      <c r="D13" s="42"/>
      <c r="E13" s="43" t="str">
        <f t="shared" si="0"/>
        <v/>
      </c>
    </row>
    <row r="14" spans="1:5" ht="15.75" customHeight="1" x14ac:dyDescent="0.3">
      <c r="B14" s="45" t="s">
        <v>67</v>
      </c>
      <c r="C14" s="46">
        <f>SUM(C7:C13)</f>
        <v>0</v>
      </c>
      <c r="D14" s="47"/>
      <c r="E14" s="46">
        <f>C14</f>
        <v>0</v>
      </c>
    </row>
    <row r="15" spans="1:5" ht="15.75" customHeight="1" x14ac:dyDescent="0.3">
      <c r="B15" s="5" t="s">
        <v>68</v>
      </c>
      <c r="C15" s="5"/>
      <c r="D15" s="5"/>
      <c r="E15" s="5"/>
    </row>
    <row r="16" spans="1:5" ht="15" customHeight="1" x14ac:dyDescent="0.3">
      <c r="B16" s="30" t="s">
        <v>69</v>
      </c>
      <c r="C16" s="42"/>
      <c r="D16" s="42"/>
      <c r="E16" s="43" t="str">
        <f t="shared" ref="E16:E31" si="1">IF(C16="","",C16)</f>
        <v/>
      </c>
    </row>
    <row r="17" spans="2:5" ht="15" customHeight="1" x14ac:dyDescent="0.3">
      <c r="B17" s="34" t="s">
        <v>70</v>
      </c>
      <c r="C17" s="42"/>
      <c r="D17" s="42"/>
      <c r="E17" s="44" t="str">
        <f t="shared" si="1"/>
        <v/>
      </c>
    </row>
    <row r="18" spans="2:5" ht="15" customHeight="1" x14ac:dyDescent="0.3">
      <c r="B18" s="30" t="s">
        <v>71</v>
      </c>
      <c r="C18" s="42"/>
      <c r="D18" s="42"/>
      <c r="E18" s="43" t="str">
        <f t="shared" si="1"/>
        <v/>
      </c>
    </row>
    <row r="19" spans="2:5" ht="15" customHeight="1" x14ac:dyDescent="0.3">
      <c r="B19" s="34" t="s">
        <v>72</v>
      </c>
      <c r="C19" s="42"/>
      <c r="D19" s="42"/>
      <c r="E19" s="44" t="str">
        <f t="shared" si="1"/>
        <v/>
      </c>
    </row>
    <row r="20" spans="2:5" ht="15" customHeight="1" x14ac:dyDescent="0.3">
      <c r="B20" s="30" t="s">
        <v>73</v>
      </c>
      <c r="C20" s="42"/>
      <c r="D20" s="42"/>
      <c r="E20" s="43" t="str">
        <f t="shared" si="1"/>
        <v/>
      </c>
    </row>
    <row r="21" spans="2:5" ht="15" customHeight="1" x14ac:dyDescent="0.3">
      <c r="B21" s="34" t="s">
        <v>74</v>
      </c>
      <c r="C21" s="42"/>
      <c r="D21" s="42"/>
      <c r="E21" s="44" t="str">
        <f t="shared" si="1"/>
        <v/>
      </c>
    </row>
    <row r="22" spans="2:5" ht="15" customHeight="1" x14ac:dyDescent="0.3">
      <c r="B22" s="30" t="s">
        <v>75</v>
      </c>
      <c r="C22" s="42"/>
      <c r="D22" s="42"/>
      <c r="E22" s="43" t="str">
        <f t="shared" si="1"/>
        <v/>
      </c>
    </row>
    <row r="23" spans="2:5" ht="15" customHeight="1" x14ac:dyDescent="0.3">
      <c r="B23" s="34" t="s">
        <v>76</v>
      </c>
      <c r="C23" s="42"/>
      <c r="D23" s="42"/>
      <c r="E23" s="44" t="str">
        <f t="shared" si="1"/>
        <v/>
      </c>
    </row>
    <row r="24" spans="2:5" ht="15" customHeight="1" x14ac:dyDescent="0.3">
      <c r="B24" s="30" t="s">
        <v>77</v>
      </c>
      <c r="C24" s="42"/>
      <c r="D24" s="42"/>
      <c r="E24" s="43" t="str">
        <f t="shared" si="1"/>
        <v/>
      </c>
    </row>
    <row r="25" spans="2:5" ht="15" customHeight="1" x14ac:dyDescent="0.3">
      <c r="B25" s="34" t="s">
        <v>78</v>
      </c>
      <c r="C25" s="42"/>
      <c r="D25" s="42"/>
      <c r="E25" s="44" t="str">
        <f t="shared" si="1"/>
        <v/>
      </c>
    </row>
    <row r="26" spans="2:5" ht="15" customHeight="1" x14ac:dyDescent="0.3">
      <c r="B26" s="30" t="s">
        <v>79</v>
      </c>
      <c r="C26" s="42"/>
      <c r="D26" s="42"/>
      <c r="E26" s="43" t="str">
        <f t="shared" si="1"/>
        <v/>
      </c>
    </row>
    <row r="27" spans="2:5" ht="15" customHeight="1" x14ac:dyDescent="0.3">
      <c r="B27" s="34" t="s">
        <v>80</v>
      </c>
      <c r="C27" s="42"/>
      <c r="D27" s="42"/>
      <c r="E27" s="44" t="str">
        <f t="shared" si="1"/>
        <v/>
      </c>
    </row>
    <row r="28" spans="2:5" ht="15" customHeight="1" x14ac:dyDescent="0.3">
      <c r="B28" s="30" t="s">
        <v>81</v>
      </c>
      <c r="C28" s="42"/>
      <c r="D28" s="42"/>
      <c r="E28" s="43" t="str">
        <f t="shared" si="1"/>
        <v/>
      </c>
    </row>
    <row r="29" spans="2:5" ht="15" customHeight="1" x14ac:dyDescent="0.3">
      <c r="B29" s="34" t="s">
        <v>82</v>
      </c>
      <c r="C29" s="42"/>
      <c r="D29" s="42"/>
      <c r="E29" s="44" t="str">
        <f t="shared" si="1"/>
        <v/>
      </c>
    </row>
    <row r="30" spans="2:5" ht="15" customHeight="1" x14ac:dyDescent="0.3">
      <c r="B30" s="30" t="s">
        <v>83</v>
      </c>
      <c r="C30" s="42"/>
      <c r="D30" s="42"/>
      <c r="E30" s="43" t="str">
        <f t="shared" si="1"/>
        <v/>
      </c>
    </row>
    <row r="31" spans="2:5" ht="15" customHeight="1" x14ac:dyDescent="0.3">
      <c r="B31" s="34" t="s">
        <v>84</v>
      </c>
      <c r="C31" s="42"/>
      <c r="D31" s="42"/>
      <c r="E31" s="44" t="str">
        <f t="shared" si="1"/>
        <v/>
      </c>
    </row>
    <row r="32" spans="2:5" ht="15.75" customHeight="1" x14ac:dyDescent="0.3">
      <c r="B32" s="45" t="s">
        <v>85</v>
      </c>
      <c r="C32" s="46">
        <f>SUM(C16:C31)</f>
        <v>0</v>
      </c>
      <c r="D32" s="45"/>
      <c r="E32" s="46">
        <f>C32</f>
        <v>0</v>
      </c>
    </row>
    <row r="33" spans="2:5" ht="15.75" customHeight="1" x14ac:dyDescent="0.3">
      <c r="B33" s="45" t="s">
        <v>86</v>
      </c>
      <c r="C33" s="45"/>
      <c r="D33" s="45"/>
      <c r="E33" s="46">
        <f>C14-C32</f>
        <v>0</v>
      </c>
    </row>
    <row r="35" spans="2:5" ht="15.75" customHeight="1" x14ac:dyDescent="0.3">
      <c r="B35" s="3" t="s">
        <v>87</v>
      </c>
      <c r="C35" s="3"/>
      <c r="D35" s="3"/>
      <c r="E35" s="3"/>
    </row>
    <row r="36" spans="2:5" ht="15" customHeight="1" x14ac:dyDescent="0.3">
      <c r="B36" s="30" t="s">
        <v>88</v>
      </c>
      <c r="C36" s="42"/>
      <c r="D36" s="42"/>
      <c r="E36" s="43" t="str">
        <f t="shared" ref="E36:E41" si="2">IF(C36="","",C36)</f>
        <v/>
      </c>
    </row>
    <row r="37" spans="2:5" ht="15" customHeight="1" x14ac:dyDescent="0.3">
      <c r="B37" s="34" t="s">
        <v>89</v>
      </c>
      <c r="C37" s="42"/>
      <c r="D37" s="42"/>
      <c r="E37" s="44" t="str">
        <f t="shared" si="2"/>
        <v/>
      </c>
    </row>
    <row r="38" spans="2:5" ht="15" customHeight="1" x14ac:dyDescent="0.3">
      <c r="B38" s="30" t="s">
        <v>90</v>
      </c>
      <c r="C38" s="42"/>
      <c r="D38" s="42"/>
      <c r="E38" s="43" t="str">
        <f t="shared" si="2"/>
        <v/>
      </c>
    </row>
    <row r="39" spans="2:5" ht="15" customHeight="1" x14ac:dyDescent="0.3">
      <c r="B39" s="34" t="s">
        <v>91</v>
      </c>
      <c r="C39" s="42"/>
      <c r="D39" s="42"/>
      <c r="E39" s="44" t="str">
        <f t="shared" si="2"/>
        <v/>
      </c>
    </row>
    <row r="40" spans="2:5" ht="15" customHeight="1" x14ac:dyDescent="0.3">
      <c r="B40" s="30" t="s">
        <v>92</v>
      </c>
      <c r="C40" s="42"/>
      <c r="D40" s="42"/>
      <c r="E40" s="43" t="str">
        <f t="shared" si="2"/>
        <v/>
      </c>
    </row>
    <row r="41" spans="2:5" ht="15" customHeight="1" x14ac:dyDescent="0.3">
      <c r="B41" s="34" t="s">
        <v>93</v>
      </c>
      <c r="C41" s="42"/>
      <c r="D41" s="42"/>
      <c r="E41" s="44" t="str">
        <f t="shared" si="2"/>
        <v/>
      </c>
    </row>
    <row r="42" spans="2:5" ht="15.75" customHeight="1" x14ac:dyDescent="0.3">
      <c r="B42" s="45" t="s">
        <v>94</v>
      </c>
      <c r="C42" s="45"/>
      <c r="D42" s="45"/>
      <c r="E42" s="46">
        <f>SUM(C36:C41)</f>
        <v>0</v>
      </c>
    </row>
    <row r="43" spans="2:5" ht="15.75" customHeight="1" x14ac:dyDescent="0.3">
      <c r="B43" s="45" t="s">
        <v>95</v>
      </c>
      <c r="C43" s="45"/>
      <c r="D43" s="45"/>
      <c r="E43" s="46">
        <f>E33+E42</f>
        <v>0</v>
      </c>
    </row>
    <row r="45" spans="2:5" ht="15.75" customHeight="1" x14ac:dyDescent="0.3">
      <c r="B45" s="3" t="s">
        <v>96</v>
      </c>
      <c r="C45" s="3"/>
      <c r="D45" s="3"/>
      <c r="E45" s="3"/>
    </row>
    <row r="46" spans="2:5" ht="15" customHeight="1" x14ac:dyDescent="0.3">
      <c r="B46" s="30" t="s">
        <v>97</v>
      </c>
      <c r="C46" s="42"/>
      <c r="D46" s="42"/>
      <c r="E46" s="43" t="str">
        <f t="shared" ref="E46:E53" si="3">IF(C46="","",C46)</f>
        <v/>
      </c>
    </row>
    <row r="47" spans="2:5" ht="15" customHeight="1" x14ac:dyDescent="0.3">
      <c r="B47" s="34" t="s">
        <v>98</v>
      </c>
      <c r="C47" s="42"/>
      <c r="D47" s="42"/>
      <c r="E47" s="44" t="str">
        <f t="shared" si="3"/>
        <v/>
      </c>
    </row>
    <row r="48" spans="2:5" ht="15" customHeight="1" x14ac:dyDescent="0.3">
      <c r="B48" s="30" t="s">
        <v>99</v>
      </c>
      <c r="C48" s="42"/>
      <c r="D48" s="42"/>
      <c r="E48" s="43" t="str">
        <f t="shared" si="3"/>
        <v/>
      </c>
    </row>
    <row r="49" spans="2:5" ht="15" customHeight="1" x14ac:dyDescent="0.3">
      <c r="B49" s="34" t="s">
        <v>100</v>
      </c>
      <c r="C49" s="42"/>
      <c r="D49" s="42"/>
      <c r="E49" s="44" t="str">
        <f t="shared" si="3"/>
        <v/>
      </c>
    </row>
    <row r="50" spans="2:5" ht="15" customHeight="1" x14ac:dyDescent="0.3">
      <c r="B50" s="30" t="s">
        <v>101</v>
      </c>
      <c r="C50" s="42"/>
      <c r="D50" s="42"/>
      <c r="E50" s="43" t="str">
        <f t="shared" si="3"/>
        <v/>
      </c>
    </row>
    <row r="51" spans="2:5" ht="15" customHeight="1" x14ac:dyDescent="0.3">
      <c r="B51" s="34" t="s">
        <v>102</v>
      </c>
      <c r="C51" s="42"/>
      <c r="D51" s="42"/>
      <c r="E51" s="44" t="str">
        <f t="shared" si="3"/>
        <v/>
      </c>
    </row>
    <row r="52" spans="2:5" ht="15" customHeight="1" x14ac:dyDescent="0.3">
      <c r="B52" s="30" t="s">
        <v>103</v>
      </c>
      <c r="C52" s="42"/>
      <c r="D52" s="42"/>
      <c r="E52" s="43" t="str">
        <f t="shared" si="3"/>
        <v/>
      </c>
    </row>
    <row r="53" spans="2:5" ht="15" customHeight="1" x14ac:dyDescent="0.3">
      <c r="B53" s="34" t="s">
        <v>104</v>
      </c>
      <c r="C53" s="42"/>
      <c r="D53" s="42"/>
      <c r="E53" s="44" t="str">
        <f t="shared" si="3"/>
        <v/>
      </c>
    </row>
    <row r="54" spans="2:5" ht="15.75" customHeight="1" x14ac:dyDescent="0.3">
      <c r="B54" s="45" t="s">
        <v>105</v>
      </c>
      <c r="C54" s="45"/>
      <c r="D54" s="45"/>
      <c r="E54" s="46">
        <f>SUM(C46:C53)</f>
        <v>0</v>
      </c>
    </row>
    <row r="55" spans="2:5" ht="15.75" customHeight="1" x14ac:dyDescent="0.3">
      <c r="B55" s="45" t="s">
        <v>106</v>
      </c>
      <c r="C55" s="45"/>
      <c r="D55" s="45"/>
      <c r="E55" s="46">
        <f>E43+E54</f>
        <v>0</v>
      </c>
    </row>
  </sheetData>
  <mergeCells count="7">
    <mergeCell ref="B35:E35"/>
    <mergeCell ref="B45:E45"/>
    <mergeCell ref="A1:E1"/>
    <mergeCell ref="A2:E2"/>
    <mergeCell ref="A4:E4"/>
    <mergeCell ref="B6:E6"/>
    <mergeCell ref="B15:E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A5276"/>
  </sheetPr>
  <dimension ref="A1:G57"/>
  <sheetViews>
    <sheetView tabSelected="1" zoomScaleNormal="100" workbookViewId="0">
      <pane xSplit="2" ySplit="6" topLeftCell="C8" activePane="bottomRight" state="frozen"/>
      <selection pane="topRight" activeCell="C1" sqref="C1"/>
      <selection pane="bottomLeft" activeCell="A7" sqref="A7"/>
      <selection pane="bottomRight" activeCell="G8" sqref="G8"/>
    </sheetView>
  </sheetViews>
  <sheetFormatPr defaultColWidth="8.6640625" defaultRowHeight="14.4" x14ac:dyDescent="0.3"/>
  <cols>
    <col min="1" max="1" width="1" customWidth="1"/>
    <col min="2" max="2" width="44.21875" bestFit="1" customWidth="1"/>
    <col min="3" max="3" width="32.88671875" bestFit="1" customWidth="1"/>
    <col min="4" max="4" width="8" bestFit="1" customWidth="1"/>
    <col min="5" max="5" width="24.5546875" bestFit="1" customWidth="1"/>
    <col min="6" max="6" width="14" customWidth="1"/>
    <col min="7" max="7" width="27.5546875" bestFit="1" customWidth="1"/>
    <col min="8" max="8" width="2" customWidth="1"/>
  </cols>
  <sheetData>
    <row r="1" spans="1:7" ht="27.75" customHeight="1" x14ac:dyDescent="0.3">
      <c r="A1" s="8" t="s">
        <v>107</v>
      </c>
      <c r="B1" s="8"/>
      <c r="C1" s="8"/>
      <c r="D1" s="8"/>
      <c r="E1" s="8"/>
      <c r="F1" s="8"/>
      <c r="G1" s="8"/>
    </row>
    <row r="2" spans="1:7" ht="13.5" customHeight="1" x14ac:dyDescent="0.3">
      <c r="A2" s="7" t="s">
        <v>54</v>
      </c>
      <c r="B2" s="7"/>
      <c r="C2" s="7"/>
      <c r="D2" s="7"/>
      <c r="E2" s="7"/>
      <c r="F2" s="7"/>
      <c r="G2" s="7"/>
    </row>
    <row r="4" spans="1:7" ht="12" customHeight="1" x14ac:dyDescent="0.3">
      <c r="A4" s="4" t="s">
        <v>52</v>
      </c>
      <c r="B4" s="4"/>
      <c r="C4" s="4"/>
      <c r="D4" s="4"/>
      <c r="E4" s="4"/>
      <c r="F4" s="4"/>
      <c r="G4" s="4"/>
    </row>
    <row r="5" spans="1:7" ht="30" customHeight="1" x14ac:dyDescent="0.3">
      <c r="B5" s="19" t="s">
        <v>108</v>
      </c>
      <c r="C5" s="19" t="s">
        <v>109</v>
      </c>
      <c r="D5" s="19" t="s">
        <v>110</v>
      </c>
      <c r="E5" s="19" t="s">
        <v>111</v>
      </c>
      <c r="F5" s="19" t="s">
        <v>112</v>
      </c>
      <c r="G5" s="19" t="s">
        <v>113</v>
      </c>
    </row>
    <row r="6" spans="1:7" ht="15.75" customHeight="1" x14ac:dyDescent="0.3">
      <c r="B6" s="5" t="s">
        <v>114</v>
      </c>
      <c r="C6" s="5"/>
      <c r="D6" s="5"/>
      <c r="E6" s="5"/>
      <c r="F6" s="5"/>
      <c r="G6" s="5"/>
    </row>
    <row r="7" spans="1:7" ht="15" customHeight="1" x14ac:dyDescent="0.3">
      <c r="B7" s="48" t="s">
        <v>115</v>
      </c>
      <c r="C7" s="49"/>
      <c r="D7" s="50" t="s">
        <v>32</v>
      </c>
      <c r="E7" s="50" t="s">
        <v>32</v>
      </c>
      <c r="F7" s="51">
        <v>0</v>
      </c>
      <c r="G7" s="43">
        <f t="shared" ref="G7:G42" si="0">IF(C7="",0,C7*F7)</f>
        <v>0</v>
      </c>
    </row>
    <row r="8" spans="1:7" ht="15" customHeight="1" x14ac:dyDescent="0.3">
      <c r="B8" s="52" t="s">
        <v>116</v>
      </c>
      <c r="C8" s="49"/>
      <c r="D8" s="53" t="s">
        <v>32</v>
      </c>
      <c r="E8" s="53" t="s">
        <v>32</v>
      </c>
      <c r="F8" s="51">
        <v>0</v>
      </c>
      <c r="G8" s="44">
        <f t="shared" si="0"/>
        <v>0</v>
      </c>
    </row>
    <row r="9" spans="1:7" ht="15" customHeight="1" x14ac:dyDescent="0.3">
      <c r="B9" s="48" t="s">
        <v>117</v>
      </c>
      <c r="C9" s="49"/>
      <c r="D9" s="50" t="s">
        <v>32</v>
      </c>
      <c r="E9" s="50" t="s">
        <v>32</v>
      </c>
      <c r="F9" s="51">
        <v>0</v>
      </c>
      <c r="G9" s="43">
        <f t="shared" si="0"/>
        <v>0</v>
      </c>
    </row>
    <row r="10" spans="1:7" ht="15" customHeight="1" x14ac:dyDescent="0.3">
      <c r="B10" s="52" t="s">
        <v>118</v>
      </c>
      <c r="C10" s="49"/>
      <c r="D10" s="53" t="s">
        <v>32</v>
      </c>
      <c r="E10" s="53" t="s">
        <v>32</v>
      </c>
      <c r="F10" s="51">
        <v>0.2</v>
      </c>
      <c r="G10" s="44">
        <f t="shared" si="0"/>
        <v>0</v>
      </c>
    </row>
    <row r="11" spans="1:7" ht="15" customHeight="1" x14ac:dyDescent="0.3">
      <c r="B11" s="48" t="s">
        <v>119</v>
      </c>
      <c r="C11" s="49"/>
      <c r="D11" s="50" t="s">
        <v>32</v>
      </c>
      <c r="E11" s="50" t="s">
        <v>32</v>
      </c>
      <c r="F11" s="51">
        <v>0.5</v>
      </c>
      <c r="G11" s="43">
        <f t="shared" si="0"/>
        <v>0</v>
      </c>
    </row>
    <row r="12" spans="1:7" ht="15" customHeight="1" x14ac:dyDescent="0.3">
      <c r="B12" s="52" t="s">
        <v>120</v>
      </c>
      <c r="C12" s="49"/>
      <c r="D12" s="53" t="s">
        <v>32</v>
      </c>
      <c r="E12" s="53" t="s">
        <v>32</v>
      </c>
      <c r="F12" s="51">
        <v>1</v>
      </c>
      <c r="G12" s="44">
        <f t="shared" si="0"/>
        <v>0</v>
      </c>
    </row>
    <row r="13" spans="1:7" ht="15" customHeight="1" x14ac:dyDescent="0.3">
      <c r="B13" s="48" t="s">
        <v>121</v>
      </c>
      <c r="C13" s="49"/>
      <c r="D13" s="50" t="s">
        <v>32</v>
      </c>
      <c r="E13" s="50" t="s">
        <v>32</v>
      </c>
      <c r="F13" s="51">
        <v>0</v>
      </c>
      <c r="G13" s="43">
        <f t="shared" si="0"/>
        <v>0</v>
      </c>
    </row>
    <row r="14" spans="1:7" ht="15" customHeight="1" x14ac:dyDescent="0.3">
      <c r="B14" s="52" t="s">
        <v>122</v>
      </c>
      <c r="C14" s="49"/>
      <c r="D14" s="53" t="s">
        <v>32</v>
      </c>
      <c r="E14" s="53" t="s">
        <v>32</v>
      </c>
      <c r="F14" s="51">
        <v>0.2</v>
      </c>
      <c r="G14" s="44">
        <f t="shared" si="0"/>
        <v>0</v>
      </c>
    </row>
    <row r="15" spans="1:7" ht="15" customHeight="1" x14ac:dyDescent="0.3">
      <c r="B15" s="48" t="s">
        <v>123</v>
      </c>
      <c r="C15" s="49"/>
      <c r="D15" s="50" t="s">
        <v>32</v>
      </c>
      <c r="E15" s="50" t="s">
        <v>32</v>
      </c>
      <c r="F15" s="51">
        <v>0.5</v>
      </c>
      <c r="G15" s="43">
        <f t="shared" si="0"/>
        <v>0</v>
      </c>
    </row>
    <row r="16" spans="1:7" ht="15" customHeight="1" x14ac:dyDescent="0.3">
      <c r="B16" s="52" t="s">
        <v>124</v>
      </c>
      <c r="C16" s="49"/>
      <c r="D16" s="53" t="s">
        <v>32</v>
      </c>
      <c r="E16" s="53" t="s">
        <v>32</v>
      </c>
      <c r="F16" s="51">
        <v>1</v>
      </c>
      <c r="G16" s="44">
        <f t="shared" si="0"/>
        <v>0</v>
      </c>
    </row>
    <row r="17" spans="2:7" ht="15" customHeight="1" x14ac:dyDescent="0.3">
      <c r="B17" s="48" t="s">
        <v>125</v>
      </c>
      <c r="C17" s="49"/>
      <c r="D17" s="50" t="s">
        <v>32</v>
      </c>
      <c r="E17" s="50" t="s">
        <v>32</v>
      </c>
      <c r="F17" s="51">
        <v>0.2</v>
      </c>
      <c r="G17" s="43">
        <f t="shared" si="0"/>
        <v>0</v>
      </c>
    </row>
    <row r="18" spans="2:7" ht="15" customHeight="1" x14ac:dyDescent="0.3">
      <c r="B18" s="52" t="s">
        <v>126</v>
      </c>
      <c r="C18" s="49"/>
      <c r="D18" s="53" t="s">
        <v>32</v>
      </c>
      <c r="E18" s="53" t="s">
        <v>32</v>
      </c>
      <c r="F18" s="51">
        <v>0.5</v>
      </c>
      <c r="G18" s="44">
        <f t="shared" si="0"/>
        <v>0</v>
      </c>
    </row>
    <row r="19" spans="2:7" ht="15" customHeight="1" x14ac:dyDescent="0.3">
      <c r="B19" s="48" t="s">
        <v>127</v>
      </c>
      <c r="C19" s="49"/>
      <c r="D19" s="50" t="s">
        <v>32</v>
      </c>
      <c r="E19" s="50" t="s">
        <v>32</v>
      </c>
      <c r="F19" s="51">
        <v>0.2</v>
      </c>
      <c r="G19" s="43">
        <f t="shared" si="0"/>
        <v>0</v>
      </c>
    </row>
    <row r="20" spans="2:7" ht="15" customHeight="1" x14ac:dyDescent="0.3">
      <c r="B20" s="52" t="s">
        <v>128</v>
      </c>
      <c r="C20" s="49"/>
      <c r="D20" s="53" t="s">
        <v>32</v>
      </c>
      <c r="E20" s="53" t="s">
        <v>32</v>
      </c>
      <c r="F20" s="51">
        <v>0.2</v>
      </c>
      <c r="G20" s="44">
        <f t="shared" si="0"/>
        <v>0</v>
      </c>
    </row>
    <row r="21" spans="2:7" ht="15" customHeight="1" x14ac:dyDescent="0.3">
      <c r="B21" s="48" t="s">
        <v>129</v>
      </c>
      <c r="C21" s="49"/>
      <c r="D21" s="50" t="s">
        <v>32</v>
      </c>
      <c r="E21" s="50" t="s">
        <v>32</v>
      </c>
      <c r="F21" s="51">
        <v>0.2</v>
      </c>
      <c r="G21" s="43">
        <f t="shared" si="0"/>
        <v>0</v>
      </c>
    </row>
    <row r="22" spans="2:7" ht="15" customHeight="1" x14ac:dyDescent="0.3">
      <c r="B22" s="52" t="s">
        <v>130</v>
      </c>
      <c r="C22" s="49"/>
      <c r="D22" s="53" t="s">
        <v>32</v>
      </c>
      <c r="E22" s="53" t="s">
        <v>32</v>
      </c>
      <c r="F22" s="51">
        <v>0.5</v>
      </c>
      <c r="G22" s="44">
        <f t="shared" si="0"/>
        <v>0</v>
      </c>
    </row>
    <row r="23" spans="2:7" ht="15" customHeight="1" x14ac:dyDescent="0.3">
      <c r="B23" s="48" t="s">
        <v>131</v>
      </c>
      <c r="C23" s="49"/>
      <c r="D23" s="50" t="s">
        <v>32</v>
      </c>
      <c r="E23" s="50" t="s">
        <v>32</v>
      </c>
      <c r="F23" s="51">
        <v>1</v>
      </c>
      <c r="G23" s="43">
        <f t="shared" si="0"/>
        <v>0</v>
      </c>
    </row>
    <row r="24" spans="2:7" ht="15" customHeight="1" x14ac:dyDescent="0.3">
      <c r="B24" s="52" t="s">
        <v>132</v>
      </c>
      <c r="C24" s="49"/>
      <c r="D24" s="53" t="s">
        <v>32</v>
      </c>
      <c r="E24" s="53" t="s">
        <v>32</v>
      </c>
      <c r="F24" s="51">
        <v>1.5</v>
      </c>
      <c r="G24" s="44">
        <f t="shared" si="0"/>
        <v>0</v>
      </c>
    </row>
    <row r="25" spans="2:7" ht="15" customHeight="1" x14ac:dyDescent="0.3">
      <c r="B25" s="48" t="s">
        <v>133</v>
      </c>
      <c r="C25" s="49"/>
      <c r="D25" s="50" t="s">
        <v>32</v>
      </c>
      <c r="E25" s="50" t="s">
        <v>32</v>
      </c>
      <c r="F25" s="51">
        <v>0.5</v>
      </c>
      <c r="G25" s="43">
        <f t="shared" si="0"/>
        <v>0</v>
      </c>
    </row>
    <row r="26" spans="2:7" ht="15" customHeight="1" x14ac:dyDescent="0.3">
      <c r="B26" s="52" t="s">
        <v>134</v>
      </c>
      <c r="C26" s="49"/>
      <c r="D26" s="53" t="s">
        <v>32</v>
      </c>
      <c r="E26" s="53" t="s">
        <v>32</v>
      </c>
      <c r="F26" s="51">
        <v>0.2</v>
      </c>
      <c r="G26" s="44">
        <f t="shared" si="0"/>
        <v>0</v>
      </c>
    </row>
    <row r="27" spans="2:7" ht="15" customHeight="1" x14ac:dyDescent="0.3">
      <c r="B27" s="48" t="s">
        <v>135</v>
      </c>
      <c r="C27" s="49"/>
      <c r="D27" s="50" t="s">
        <v>32</v>
      </c>
      <c r="E27" s="50" t="s">
        <v>32</v>
      </c>
      <c r="F27" s="51">
        <v>0.5</v>
      </c>
      <c r="G27" s="43">
        <f t="shared" si="0"/>
        <v>0</v>
      </c>
    </row>
    <row r="28" spans="2:7" ht="15" customHeight="1" x14ac:dyDescent="0.3">
      <c r="B28" s="52" t="s">
        <v>136</v>
      </c>
      <c r="C28" s="49"/>
      <c r="D28" s="53" t="s">
        <v>32</v>
      </c>
      <c r="E28" s="53" t="s">
        <v>32</v>
      </c>
      <c r="F28" s="51">
        <v>1</v>
      </c>
      <c r="G28" s="44">
        <f t="shared" si="0"/>
        <v>0</v>
      </c>
    </row>
    <row r="29" spans="2:7" ht="15" customHeight="1" x14ac:dyDescent="0.3">
      <c r="B29" s="48" t="s">
        <v>137</v>
      </c>
      <c r="C29" s="49"/>
      <c r="D29" s="50" t="s">
        <v>32</v>
      </c>
      <c r="E29" s="50" t="s">
        <v>32</v>
      </c>
      <c r="F29" s="51">
        <v>1</v>
      </c>
      <c r="G29" s="43">
        <f t="shared" si="0"/>
        <v>0</v>
      </c>
    </row>
    <row r="30" spans="2:7" ht="15" customHeight="1" x14ac:dyDescent="0.3">
      <c r="B30" s="52" t="s">
        <v>138</v>
      </c>
      <c r="C30" s="49"/>
      <c r="D30" s="53" t="s">
        <v>32</v>
      </c>
      <c r="E30" s="53" t="s">
        <v>32</v>
      </c>
      <c r="F30" s="51">
        <v>1</v>
      </c>
      <c r="G30" s="44">
        <f t="shared" si="0"/>
        <v>0</v>
      </c>
    </row>
    <row r="31" spans="2:7" ht="15" customHeight="1" x14ac:dyDescent="0.3">
      <c r="B31" s="48" t="s">
        <v>139</v>
      </c>
      <c r="C31" s="49"/>
      <c r="D31" s="50" t="s">
        <v>32</v>
      </c>
      <c r="E31" s="50" t="s">
        <v>32</v>
      </c>
      <c r="F31" s="51">
        <v>0.75</v>
      </c>
      <c r="G31" s="43">
        <f t="shared" si="0"/>
        <v>0</v>
      </c>
    </row>
    <row r="32" spans="2:7" ht="15" customHeight="1" x14ac:dyDescent="0.3">
      <c r="B32" s="52" t="s">
        <v>140</v>
      </c>
      <c r="C32" s="49"/>
      <c r="D32" s="53" t="s">
        <v>32</v>
      </c>
      <c r="E32" s="53" t="s">
        <v>32</v>
      </c>
      <c r="F32" s="51">
        <v>0.75</v>
      </c>
      <c r="G32" s="44">
        <f t="shared" si="0"/>
        <v>0</v>
      </c>
    </row>
    <row r="33" spans="2:7" ht="15" customHeight="1" x14ac:dyDescent="0.3">
      <c r="B33" s="48" t="s">
        <v>141</v>
      </c>
      <c r="C33" s="49"/>
      <c r="D33" s="50" t="s">
        <v>32</v>
      </c>
      <c r="E33" s="50" t="s">
        <v>32</v>
      </c>
      <c r="F33" s="51">
        <v>0.35</v>
      </c>
      <c r="G33" s="43">
        <f t="shared" si="0"/>
        <v>0</v>
      </c>
    </row>
    <row r="34" spans="2:7" ht="15" customHeight="1" x14ac:dyDescent="0.3">
      <c r="B34" s="52" t="s">
        <v>142</v>
      </c>
      <c r="C34" s="49"/>
      <c r="D34" s="53" t="s">
        <v>32</v>
      </c>
      <c r="E34" s="53" t="s">
        <v>32</v>
      </c>
      <c r="F34" s="51">
        <v>0.75</v>
      </c>
      <c r="G34" s="44">
        <f t="shared" si="0"/>
        <v>0</v>
      </c>
    </row>
    <row r="35" spans="2:7" ht="15" customHeight="1" x14ac:dyDescent="0.3">
      <c r="B35" s="48" t="s">
        <v>143</v>
      </c>
      <c r="C35" s="49"/>
      <c r="D35" s="50" t="s">
        <v>32</v>
      </c>
      <c r="E35" s="50" t="s">
        <v>32</v>
      </c>
      <c r="F35" s="51">
        <v>1</v>
      </c>
      <c r="G35" s="43">
        <f t="shared" si="0"/>
        <v>0</v>
      </c>
    </row>
    <row r="36" spans="2:7" ht="15" customHeight="1" x14ac:dyDescent="0.3">
      <c r="B36" s="52" t="s">
        <v>144</v>
      </c>
      <c r="C36" s="49"/>
      <c r="D36" s="53" t="s">
        <v>32</v>
      </c>
      <c r="E36" s="53" t="s">
        <v>32</v>
      </c>
      <c r="F36" s="51">
        <v>1.5</v>
      </c>
      <c r="G36" s="44">
        <f t="shared" si="0"/>
        <v>0</v>
      </c>
    </row>
    <row r="37" spans="2:7" ht="15" customHeight="1" x14ac:dyDescent="0.3">
      <c r="B37" s="48" t="s">
        <v>145</v>
      </c>
      <c r="C37" s="49"/>
      <c r="D37" s="50" t="s">
        <v>32</v>
      </c>
      <c r="E37" s="50" t="s">
        <v>32</v>
      </c>
      <c r="F37" s="51">
        <v>1</v>
      </c>
      <c r="G37" s="43">
        <f t="shared" si="0"/>
        <v>0</v>
      </c>
    </row>
    <row r="38" spans="2:7" ht="15" customHeight="1" x14ac:dyDescent="0.3">
      <c r="B38" s="52" t="s">
        <v>146</v>
      </c>
      <c r="C38" s="49"/>
      <c r="D38" s="53" t="s">
        <v>32</v>
      </c>
      <c r="E38" s="53" t="s">
        <v>32</v>
      </c>
      <c r="F38" s="51">
        <v>1.5</v>
      </c>
      <c r="G38" s="44">
        <f t="shared" si="0"/>
        <v>0</v>
      </c>
    </row>
    <row r="39" spans="2:7" ht="15" customHeight="1" x14ac:dyDescent="0.3">
      <c r="B39" s="48" t="s">
        <v>147</v>
      </c>
      <c r="C39" s="49"/>
      <c r="D39" s="50" t="s">
        <v>32</v>
      </c>
      <c r="E39" s="50" t="s">
        <v>32</v>
      </c>
      <c r="F39" s="51">
        <v>0</v>
      </c>
      <c r="G39" s="43">
        <f t="shared" si="0"/>
        <v>0</v>
      </c>
    </row>
    <row r="40" spans="2:7" ht="15" customHeight="1" x14ac:dyDescent="0.3">
      <c r="B40" s="52" t="s">
        <v>148</v>
      </c>
      <c r="C40" s="49"/>
      <c r="D40" s="53" t="s">
        <v>32</v>
      </c>
      <c r="E40" s="53" t="s">
        <v>32</v>
      </c>
      <c r="F40" s="51">
        <v>0</v>
      </c>
      <c r="G40" s="44">
        <f t="shared" si="0"/>
        <v>0</v>
      </c>
    </row>
    <row r="41" spans="2:7" ht="15" customHeight="1" x14ac:dyDescent="0.3">
      <c r="B41" s="48" t="s">
        <v>149</v>
      </c>
      <c r="C41" s="49"/>
      <c r="D41" s="50" t="s">
        <v>32</v>
      </c>
      <c r="E41" s="50" t="s">
        <v>32</v>
      </c>
      <c r="F41" s="51">
        <v>1</v>
      </c>
      <c r="G41" s="43">
        <f t="shared" si="0"/>
        <v>0</v>
      </c>
    </row>
    <row r="42" spans="2:7" ht="15" customHeight="1" x14ac:dyDescent="0.3">
      <c r="B42" s="52" t="s">
        <v>150</v>
      </c>
      <c r="C42" s="49"/>
      <c r="D42" s="53" t="s">
        <v>32</v>
      </c>
      <c r="E42" s="53" t="s">
        <v>32</v>
      </c>
      <c r="F42" s="51">
        <v>1</v>
      </c>
      <c r="G42" s="44">
        <f t="shared" si="0"/>
        <v>0</v>
      </c>
    </row>
    <row r="43" spans="2:7" ht="15.75" customHeight="1" x14ac:dyDescent="0.3">
      <c r="B43" s="45" t="s">
        <v>151</v>
      </c>
      <c r="C43" s="46">
        <f>SUM(C7:C42)</f>
        <v>0</v>
      </c>
      <c r="D43" s="45"/>
      <c r="E43" s="45"/>
      <c r="F43" s="45"/>
      <c r="G43" s="46">
        <f>SUM(G7:G42)</f>
        <v>0</v>
      </c>
    </row>
    <row r="45" spans="2:7" ht="15.75" customHeight="1" x14ac:dyDescent="0.3">
      <c r="B45" s="5" t="s">
        <v>152</v>
      </c>
      <c r="C45" s="5"/>
      <c r="D45" s="5"/>
      <c r="E45" s="5"/>
      <c r="F45" s="5"/>
      <c r="G45" s="5"/>
    </row>
    <row r="46" spans="2:7" ht="15" customHeight="1" x14ac:dyDescent="0.3">
      <c r="B46" s="48" t="s">
        <v>153</v>
      </c>
      <c r="C46" s="49"/>
      <c r="D46" s="51">
        <v>1</v>
      </c>
      <c r="E46" s="43">
        <f t="shared" ref="E46:E54" si="1">IF(C46="",0,C46*D46)</f>
        <v>0</v>
      </c>
      <c r="F46" s="51">
        <v>1</v>
      </c>
      <c r="G46" s="43">
        <f t="shared" ref="G46:G54" si="2">IF(E46=0,0,E46*F46)</f>
        <v>0</v>
      </c>
    </row>
    <row r="47" spans="2:7" ht="15" customHeight="1" x14ac:dyDescent="0.3">
      <c r="B47" s="52" t="s">
        <v>154</v>
      </c>
      <c r="C47" s="49"/>
      <c r="D47" s="51">
        <v>0.2</v>
      </c>
      <c r="E47" s="44">
        <f t="shared" si="1"/>
        <v>0</v>
      </c>
      <c r="F47" s="51">
        <v>1</v>
      </c>
      <c r="G47" s="44">
        <f t="shared" si="2"/>
        <v>0</v>
      </c>
    </row>
    <row r="48" spans="2:7" ht="15" customHeight="1" x14ac:dyDescent="0.3">
      <c r="B48" s="48" t="s">
        <v>155</v>
      </c>
      <c r="C48" s="49"/>
      <c r="D48" s="51">
        <v>0.5</v>
      </c>
      <c r="E48" s="43">
        <f t="shared" si="1"/>
        <v>0</v>
      </c>
      <c r="F48" s="51">
        <v>1</v>
      </c>
      <c r="G48" s="43">
        <f t="shared" si="2"/>
        <v>0</v>
      </c>
    </row>
    <row r="49" spans="2:7" ht="15" customHeight="1" x14ac:dyDescent="0.3">
      <c r="B49" s="52" t="s">
        <v>156</v>
      </c>
      <c r="C49" s="49"/>
      <c r="D49" s="51">
        <v>0.5</v>
      </c>
      <c r="E49" s="44">
        <f t="shared" si="1"/>
        <v>0</v>
      </c>
      <c r="F49" s="51">
        <v>1</v>
      </c>
      <c r="G49" s="44">
        <f t="shared" si="2"/>
        <v>0</v>
      </c>
    </row>
    <row r="50" spans="2:7" ht="15" customHeight="1" x14ac:dyDescent="0.3">
      <c r="B50" s="48" t="s">
        <v>157</v>
      </c>
      <c r="C50" s="49"/>
      <c r="D50" s="51">
        <v>0.2</v>
      </c>
      <c r="E50" s="43">
        <f t="shared" si="1"/>
        <v>0</v>
      </c>
      <c r="F50" s="51">
        <v>1</v>
      </c>
      <c r="G50" s="43">
        <f t="shared" si="2"/>
        <v>0</v>
      </c>
    </row>
    <row r="51" spans="2:7" ht="15" customHeight="1" x14ac:dyDescent="0.3">
      <c r="B51" s="52" t="s">
        <v>158</v>
      </c>
      <c r="C51" s="49"/>
      <c r="D51" s="51">
        <v>1</v>
      </c>
      <c r="E51" s="44">
        <f t="shared" si="1"/>
        <v>0</v>
      </c>
      <c r="F51" s="51">
        <v>1</v>
      </c>
      <c r="G51" s="44">
        <f t="shared" si="2"/>
        <v>0</v>
      </c>
    </row>
    <row r="52" spans="2:7" ht="15" customHeight="1" x14ac:dyDescent="0.3">
      <c r="B52" s="48" t="s">
        <v>159</v>
      </c>
      <c r="C52" s="49"/>
      <c r="D52" s="51">
        <v>1</v>
      </c>
      <c r="E52" s="43">
        <f t="shared" si="1"/>
        <v>0</v>
      </c>
      <c r="F52" s="51">
        <v>1</v>
      </c>
      <c r="G52" s="43">
        <f t="shared" si="2"/>
        <v>0</v>
      </c>
    </row>
    <row r="53" spans="2:7" ht="15" customHeight="1" x14ac:dyDescent="0.3">
      <c r="B53" s="52" t="s">
        <v>160</v>
      </c>
      <c r="C53" s="49"/>
      <c r="D53" s="51">
        <v>0.5</v>
      </c>
      <c r="E53" s="44">
        <f t="shared" si="1"/>
        <v>0</v>
      </c>
      <c r="F53" s="51">
        <v>1</v>
      </c>
      <c r="G53" s="44">
        <f t="shared" si="2"/>
        <v>0</v>
      </c>
    </row>
    <row r="54" spans="2:7" ht="15" customHeight="1" x14ac:dyDescent="0.3">
      <c r="B54" s="48" t="s">
        <v>161</v>
      </c>
      <c r="C54" s="49"/>
      <c r="D54" s="51">
        <v>1</v>
      </c>
      <c r="E54" s="43">
        <f t="shared" si="1"/>
        <v>0</v>
      </c>
      <c r="F54" s="51">
        <v>1</v>
      </c>
      <c r="G54" s="43">
        <f t="shared" si="2"/>
        <v>0</v>
      </c>
    </row>
    <row r="55" spans="2:7" ht="15.75" customHeight="1" x14ac:dyDescent="0.3">
      <c r="B55" s="45" t="s">
        <v>162</v>
      </c>
      <c r="C55" s="46">
        <f>SUM(C46:C54)</f>
        <v>0</v>
      </c>
      <c r="D55" s="45"/>
      <c r="E55" s="46">
        <f>SUM(E46:E54)</f>
        <v>0</v>
      </c>
      <c r="F55" s="45"/>
      <c r="G55" s="46">
        <f>SUM(G46:G54)</f>
        <v>0</v>
      </c>
    </row>
    <row r="57" spans="2:7" ht="15.75" customHeight="1" x14ac:dyDescent="0.3">
      <c r="B57" s="45" t="s">
        <v>163</v>
      </c>
      <c r="C57" s="45"/>
      <c r="D57" s="45"/>
      <c r="E57" s="45"/>
      <c r="F57" s="45"/>
      <c r="G57" s="46">
        <f>G43+G55</f>
        <v>0</v>
      </c>
    </row>
  </sheetData>
  <mergeCells count="5">
    <mergeCell ref="A1:G1"/>
    <mergeCell ref="A2:G2"/>
    <mergeCell ref="A4:G4"/>
    <mergeCell ref="B6:G6"/>
    <mergeCell ref="B45:G4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17A65"/>
  </sheetPr>
  <dimension ref="A1:E24"/>
  <sheetViews>
    <sheetView zoomScaleNormal="100" workbookViewId="0">
      <pane xSplit="2" ySplit="6" topLeftCell="C10" activePane="bottomRight" state="frozen"/>
      <selection pane="topRight" activeCell="C1" sqref="C1"/>
      <selection pane="bottomLeft" activeCell="A7" sqref="A7"/>
      <selection pane="bottomRight" activeCell="C10" sqref="C10"/>
    </sheetView>
  </sheetViews>
  <sheetFormatPr defaultColWidth="8.6640625" defaultRowHeight="14.4" x14ac:dyDescent="0.3"/>
  <cols>
    <col min="1" max="1" width="1" customWidth="1"/>
    <col min="2" max="2" width="41.21875" bestFit="1" customWidth="1"/>
    <col min="3" max="3" width="28" bestFit="1" customWidth="1"/>
    <col min="4" max="4" width="20.5546875" bestFit="1" customWidth="1"/>
    <col min="5" max="5" width="22" bestFit="1" customWidth="1"/>
    <col min="6" max="6" width="2" customWidth="1"/>
  </cols>
  <sheetData>
    <row r="1" spans="1:5" ht="27.75" customHeight="1" x14ac:dyDescent="0.3">
      <c r="A1" s="8" t="s">
        <v>164</v>
      </c>
      <c r="B1" s="8"/>
      <c r="C1" s="8"/>
      <c r="D1" s="8"/>
      <c r="E1" s="8"/>
    </row>
    <row r="2" spans="1:5" ht="13.5" customHeight="1" x14ac:dyDescent="0.3">
      <c r="A2" s="7" t="s">
        <v>165</v>
      </c>
      <c r="B2" s="7"/>
      <c r="C2" s="7"/>
      <c r="D2" s="7"/>
      <c r="E2" s="7"/>
    </row>
    <row r="4" spans="1:5" ht="12" customHeight="1" x14ac:dyDescent="0.3">
      <c r="A4" s="4" t="s">
        <v>52</v>
      </c>
      <c r="B4" s="4"/>
      <c r="C4" s="4"/>
      <c r="D4" s="4"/>
      <c r="E4" s="4"/>
    </row>
    <row r="5" spans="1:5" ht="27.75" customHeight="1" x14ac:dyDescent="0.3">
      <c r="B5" s="19" t="s">
        <v>166</v>
      </c>
      <c r="C5" s="19" t="s">
        <v>167</v>
      </c>
      <c r="D5" s="19" t="s">
        <v>168</v>
      </c>
      <c r="E5" s="19" t="s">
        <v>169</v>
      </c>
    </row>
    <row r="6" spans="1:5" ht="15.75" customHeight="1" x14ac:dyDescent="0.3">
      <c r="B6" s="5" t="s">
        <v>170</v>
      </c>
      <c r="C6" s="5"/>
      <c r="D6" s="5"/>
      <c r="E6" s="5"/>
    </row>
    <row r="7" spans="1:5" ht="15" customHeight="1" x14ac:dyDescent="0.3">
      <c r="B7" s="30" t="s">
        <v>171</v>
      </c>
      <c r="C7" s="49"/>
      <c r="D7" s="51">
        <v>0</v>
      </c>
      <c r="E7" s="43">
        <f>IF(OR(C7="",D7=""),0,C7*D7)</f>
        <v>0</v>
      </c>
    </row>
    <row r="8" spans="1:5" ht="15" customHeight="1" x14ac:dyDescent="0.3">
      <c r="B8" s="34" t="s">
        <v>172</v>
      </c>
      <c r="C8" s="49"/>
      <c r="D8" s="51">
        <v>2.5000000000000001E-3</v>
      </c>
      <c r="E8" s="44">
        <f>IF(OR(C8="",D8=""),0,C8*D8)</f>
        <v>0</v>
      </c>
    </row>
    <row r="9" spans="1:5" ht="15" customHeight="1" x14ac:dyDescent="0.3">
      <c r="B9" s="30" t="s">
        <v>173</v>
      </c>
      <c r="C9" s="49"/>
      <c r="D9" s="51">
        <v>0.08</v>
      </c>
      <c r="E9" s="43">
        <f>IF(OR(C9="",D9=""),0,C9*D9)</f>
        <v>0</v>
      </c>
    </row>
    <row r="10" spans="1:5" ht="15" customHeight="1" x14ac:dyDescent="0.3">
      <c r="B10" s="34" t="s">
        <v>174</v>
      </c>
      <c r="C10" s="49"/>
      <c r="D10" s="54"/>
      <c r="E10" s="44">
        <f>IF(C10="",0,C10)</f>
        <v>0</v>
      </c>
    </row>
    <row r="11" spans="1:5" ht="15" customHeight="1" x14ac:dyDescent="0.3">
      <c r="B11" s="30" t="s">
        <v>175</v>
      </c>
      <c r="C11" s="49"/>
      <c r="D11" s="54"/>
      <c r="E11" s="43">
        <f>IF(C11="",0,C11)</f>
        <v>0</v>
      </c>
    </row>
    <row r="12" spans="1:5" ht="15" customHeight="1" x14ac:dyDescent="0.3">
      <c r="B12" s="34" t="s">
        <v>176</v>
      </c>
      <c r="C12" s="49"/>
      <c r="D12" s="54"/>
      <c r="E12" s="44">
        <f>IF(C12="",0,C12)</f>
        <v>0</v>
      </c>
    </row>
    <row r="13" spans="1:5" ht="15.75" customHeight="1" x14ac:dyDescent="0.3">
      <c r="B13" s="5" t="s">
        <v>177</v>
      </c>
      <c r="C13" s="5"/>
      <c r="D13" s="5"/>
      <c r="E13" s="5"/>
    </row>
    <row r="14" spans="1:5" ht="15" customHeight="1" x14ac:dyDescent="0.3">
      <c r="B14" s="30" t="s">
        <v>178</v>
      </c>
      <c r="C14" s="49"/>
      <c r="D14" s="51">
        <v>0.08</v>
      </c>
      <c r="E14" s="43">
        <f>IF(OR(C14="",D14=""),0,C14*D14)</f>
        <v>0</v>
      </c>
    </row>
    <row r="15" spans="1:5" ht="15" customHeight="1" x14ac:dyDescent="0.3">
      <c r="B15" s="34" t="s">
        <v>179</v>
      </c>
      <c r="C15" s="49"/>
      <c r="D15" s="51">
        <v>0.08</v>
      </c>
      <c r="E15" s="44">
        <f>IF(OR(C15="",D15=""),0,C15*D15)</f>
        <v>0</v>
      </c>
    </row>
    <row r="16" spans="1:5" ht="15.75" customHeight="1" x14ac:dyDescent="0.3">
      <c r="B16" s="5" t="s">
        <v>180</v>
      </c>
      <c r="C16" s="5"/>
      <c r="D16" s="5"/>
      <c r="E16" s="5"/>
    </row>
    <row r="17" spans="2:5" ht="15" customHeight="1" x14ac:dyDescent="0.3">
      <c r="B17" s="30" t="s">
        <v>181</v>
      </c>
      <c r="C17" s="49"/>
      <c r="D17" s="51">
        <v>0.08</v>
      </c>
      <c r="E17" s="43">
        <f>IF(OR(C17="",D17=""),0,C17*D17)</f>
        <v>0</v>
      </c>
    </row>
    <row r="18" spans="2:5" ht="15" customHeight="1" x14ac:dyDescent="0.3">
      <c r="B18" s="34" t="s">
        <v>182</v>
      </c>
      <c r="C18" s="49"/>
      <c r="D18" s="51">
        <v>0.08</v>
      </c>
      <c r="E18" s="44">
        <f>IF(OR(C18="",D18=""),0,C18*D18)</f>
        <v>0</v>
      </c>
    </row>
    <row r="19" spans="2:5" ht="15.75" customHeight="1" x14ac:dyDescent="0.3">
      <c r="B19" s="5" t="s">
        <v>183</v>
      </c>
      <c r="C19" s="5"/>
      <c r="D19" s="5"/>
      <c r="E19" s="5"/>
    </row>
    <row r="20" spans="2:5" ht="15" customHeight="1" x14ac:dyDescent="0.3">
      <c r="B20" s="30" t="s">
        <v>184</v>
      </c>
      <c r="C20" s="49"/>
      <c r="D20" s="51">
        <v>0.15</v>
      </c>
      <c r="E20" s="43">
        <f>IF(OR(C20="",D20=""),0,C20*D20)</f>
        <v>0</v>
      </c>
    </row>
    <row r="21" spans="2:5" ht="15.75" customHeight="1" x14ac:dyDescent="0.3">
      <c r="B21" s="5" t="s">
        <v>185</v>
      </c>
      <c r="C21" s="5"/>
      <c r="D21" s="5"/>
      <c r="E21" s="5"/>
    </row>
    <row r="22" spans="2:5" ht="15" customHeight="1" x14ac:dyDescent="0.3">
      <c r="B22" s="30" t="s">
        <v>186</v>
      </c>
      <c r="C22" s="49"/>
      <c r="D22" s="54"/>
      <c r="E22" s="43">
        <f>IF(C22="",0,C22)</f>
        <v>0</v>
      </c>
    </row>
    <row r="23" spans="2:5" ht="15.75" customHeight="1" x14ac:dyDescent="0.3">
      <c r="B23" s="45" t="s">
        <v>187</v>
      </c>
      <c r="C23" s="45"/>
      <c r="D23" s="45"/>
      <c r="E23" s="46">
        <f>SUM(E6:E22)</f>
        <v>0</v>
      </c>
    </row>
    <row r="24" spans="2:5" ht="15.75" customHeight="1" x14ac:dyDescent="0.3">
      <c r="B24" s="45" t="s">
        <v>188</v>
      </c>
      <c r="C24" s="45"/>
      <c r="D24" s="45"/>
      <c r="E24" s="46">
        <f>E23*12.5</f>
        <v>0</v>
      </c>
    </row>
  </sheetData>
  <mergeCells count="8">
    <mergeCell ref="B16:E16"/>
    <mergeCell ref="B19:E19"/>
    <mergeCell ref="B21:E21"/>
    <mergeCell ref="A1:E1"/>
    <mergeCell ref="A2:E2"/>
    <mergeCell ref="A4:E4"/>
    <mergeCell ref="B6:E6"/>
    <mergeCell ref="B13:E1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E2F8E"/>
  </sheetPr>
  <dimension ref="A1:G18"/>
  <sheetViews>
    <sheetView zoomScaleNormal="100" workbookViewId="0">
      <pane xSplit="2" ySplit="6" topLeftCell="C7" activePane="bottomRight" state="frozen"/>
      <selection pane="topRight" activeCell="C1" sqref="C1"/>
      <selection pane="bottomLeft" activeCell="A7" sqref="A7"/>
      <selection pane="bottomRight" sqref="A1:G1"/>
    </sheetView>
  </sheetViews>
  <sheetFormatPr defaultColWidth="8.6640625" defaultRowHeight="14.4" x14ac:dyDescent="0.3"/>
  <cols>
    <col min="1" max="1" width="1" customWidth="1"/>
    <col min="2" max="2" width="36" customWidth="1"/>
    <col min="3" max="5" width="16" customWidth="1"/>
    <col min="6" max="6" width="12" customWidth="1"/>
    <col min="7" max="7" width="16" customWidth="1"/>
    <col min="8" max="8" width="2" customWidth="1"/>
  </cols>
  <sheetData>
    <row r="1" spans="1:7" ht="27.75" customHeight="1" x14ac:dyDescent="0.3">
      <c r="A1" s="8" t="s">
        <v>189</v>
      </c>
      <c r="B1" s="8"/>
      <c r="C1" s="8"/>
      <c r="D1" s="8"/>
      <c r="E1" s="8"/>
      <c r="F1" s="8"/>
      <c r="G1" s="8"/>
    </row>
    <row r="2" spans="1:7" ht="13.5" customHeight="1" x14ac:dyDescent="0.3">
      <c r="A2" s="7" t="s">
        <v>190</v>
      </c>
      <c r="B2" s="7"/>
      <c r="C2" s="7"/>
      <c r="D2" s="7"/>
      <c r="E2" s="7"/>
      <c r="F2" s="7"/>
      <c r="G2" s="7"/>
    </row>
    <row r="4" spans="1:7" ht="12" customHeight="1" x14ac:dyDescent="0.3">
      <c r="A4" s="4" t="s">
        <v>52</v>
      </c>
      <c r="B4" s="4"/>
      <c r="C4" s="4"/>
      <c r="D4" s="4"/>
      <c r="E4" s="4"/>
      <c r="F4" s="4"/>
      <c r="G4" s="4"/>
    </row>
    <row r="5" spans="1:7" ht="27.75" customHeight="1" x14ac:dyDescent="0.3">
      <c r="B5" s="19" t="s">
        <v>191</v>
      </c>
      <c r="C5" s="19" t="s">
        <v>192</v>
      </c>
      <c r="D5" s="19" t="s">
        <v>193</v>
      </c>
      <c r="E5" s="19" t="s">
        <v>194</v>
      </c>
      <c r="F5" s="19" t="s">
        <v>195</v>
      </c>
      <c r="G5" s="19" t="s">
        <v>169</v>
      </c>
    </row>
    <row r="6" spans="1:7" ht="15.75" customHeight="1" x14ac:dyDescent="0.3">
      <c r="B6" s="30" t="s">
        <v>196</v>
      </c>
      <c r="C6" s="49"/>
      <c r="D6" s="49"/>
      <c r="E6" s="49"/>
      <c r="F6" s="51">
        <v>0.18</v>
      </c>
      <c r="G6" s="43">
        <f t="shared" ref="G6:G13" si="0">IF(OR(C6="",D6="",E6=""),0,AVERAGE(C6:E6)*F6)</f>
        <v>0</v>
      </c>
    </row>
    <row r="7" spans="1:7" ht="15.75" customHeight="1" x14ac:dyDescent="0.3">
      <c r="B7" s="34" t="s">
        <v>197</v>
      </c>
      <c r="C7" s="49"/>
      <c r="D7" s="49"/>
      <c r="E7" s="49"/>
      <c r="F7" s="51">
        <v>0.18</v>
      </c>
      <c r="G7" s="44">
        <f t="shared" si="0"/>
        <v>0</v>
      </c>
    </row>
    <row r="8" spans="1:7" ht="15.75" customHeight="1" x14ac:dyDescent="0.3">
      <c r="B8" s="30" t="s">
        <v>198</v>
      </c>
      <c r="C8" s="49"/>
      <c r="D8" s="49"/>
      <c r="E8" s="49"/>
      <c r="F8" s="51">
        <v>0.12</v>
      </c>
      <c r="G8" s="43">
        <f t="shared" si="0"/>
        <v>0</v>
      </c>
    </row>
    <row r="9" spans="1:7" ht="15.75" customHeight="1" x14ac:dyDescent="0.3">
      <c r="B9" s="34" t="s">
        <v>199</v>
      </c>
      <c r="C9" s="49"/>
      <c r="D9" s="49"/>
      <c r="E9" s="49"/>
      <c r="F9" s="51">
        <v>0.15</v>
      </c>
      <c r="G9" s="44">
        <f t="shared" si="0"/>
        <v>0</v>
      </c>
    </row>
    <row r="10" spans="1:7" ht="15.75" customHeight="1" x14ac:dyDescent="0.3">
      <c r="B10" s="30" t="s">
        <v>200</v>
      </c>
      <c r="C10" s="49"/>
      <c r="D10" s="49"/>
      <c r="E10" s="49"/>
      <c r="F10" s="51">
        <v>0.18</v>
      </c>
      <c r="G10" s="43">
        <f t="shared" si="0"/>
        <v>0</v>
      </c>
    </row>
    <row r="11" spans="1:7" ht="15.75" customHeight="1" x14ac:dyDescent="0.3">
      <c r="B11" s="34" t="s">
        <v>201</v>
      </c>
      <c r="C11" s="49"/>
      <c r="D11" s="49"/>
      <c r="E11" s="49"/>
      <c r="F11" s="51">
        <v>0.15</v>
      </c>
      <c r="G11" s="44">
        <f t="shared" si="0"/>
        <v>0</v>
      </c>
    </row>
    <row r="12" spans="1:7" ht="15.75" customHeight="1" x14ac:dyDescent="0.3">
      <c r="B12" s="30" t="s">
        <v>202</v>
      </c>
      <c r="C12" s="49"/>
      <c r="D12" s="49"/>
      <c r="E12" s="49"/>
      <c r="F12" s="51">
        <v>0.12</v>
      </c>
      <c r="G12" s="43">
        <f t="shared" si="0"/>
        <v>0</v>
      </c>
    </row>
    <row r="13" spans="1:7" ht="15.75" customHeight="1" x14ac:dyDescent="0.3">
      <c r="B13" s="34" t="s">
        <v>203</v>
      </c>
      <c r="C13" s="49"/>
      <c r="D13" s="49"/>
      <c r="E13" s="49"/>
      <c r="F13" s="51">
        <v>0.12</v>
      </c>
      <c r="G13" s="44">
        <f t="shared" si="0"/>
        <v>0</v>
      </c>
    </row>
    <row r="14" spans="1:7" ht="15.75" customHeight="1" x14ac:dyDescent="0.3">
      <c r="B14" s="45" t="s">
        <v>204</v>
      </c>
      <c r="C14" s="46">
        <f>SUM(C6:C13)</f>
        <v>0</v>
      </c>
      <c r="D14" s="46">
        <f>SUM(D6:D13)</f>
        <v>0</v>
      </c>
      <c r="E14" s="46">
        <f>SUM(E6:E13)</f>
        <v>0</v>
      </c>
      <c r="F14" s="45"/>
      <c r="G14" s="46">
        <f>SUM(G6:G13)</f>
        <v>0</v>
      </c>
    </row>
    <row r="15" spans="1:7" ht="15.75" customHeight="1" x14ac:dyDescent="0.3">
      <c r="B15" s="45" t="s">
        <v>205</v>
      </c>
      <c r="C15" s="45"/>
      <c r="D15" s="45"/>
      <c r="E15" s="45"/>
      <c r="F15" s="45"/>
      <c r="G15" s="46">
        <f>G14*12.5</f>
        <v>0</v>
      </c>
    </row>
    <row r="18" spans="2:7" ht="24" customHeight="1" x14ac:dyDescent="0.3">
      <c r="B18" s="2" t="s">
        <v>206</v>
      </c>
      <c r="C18" s="2"/>
      <c r="D18" s="2"/>
      <c r="E18" s="2"/>
      <c r="F18" s="2"/>
      <c r="G18" s="2"/>
    </row>
  </sheetData>
  <mergeCells count="4">
    <mergeCell ref="A1:G1"/>
    <mergeCell ref="A2:G2"/>
    <mergeCell ref="A4:G4"/>
    <mergeCell ref="B18:G1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7770D"/>
  </sheetPr>
  <dimension ref="A1:F26"/>
  <sheetViews>
    <sheetView zoomScaleNormal="100" workbookViewId="0">
      <pane xSplit="2" ySplit="6" topLeftCell="C7" activePane="bottomRight" state="frozen"/>
      <selection pane="topRight" activeCell="C1" sqref="C1"/>
      <selection pane="bottomLeft" activeCell="A7" sqref="A7"/>
      <selection pane="bottomRight" activeCell="F13" sqref="F13"/>
    </sheetView>
  </sheetViews>
  <sheetFormatPr defaultColWidth="8.6640625" defaultRowHeight="14.4" x14ac:dyDescent="0.3"/>
  <cols>
    <col min="1" max="1" width="1" customWidth="1"/>
    <col min="2" max="2" width="44" customWidth="1"/>
    <col min="3" max="6" width="16" customWidth="1"/>
    <col min="7" max="7" width="2" customWidth="1"/>
  </cols>
  <sheetData>
    <row r="1" spans="1:6" ht="27.75" customHeight="1" x14ac:dyDescent="0.3">
      <c r="A1" s="8" t="s">
        <v>207</v>
      </c>
      <c r="B1" s="8"/>
      <c r="C1" s="8"/>
      <c r="D1" s="8"/>
      <c r="E1" s="8"/>
      <c r="F1" s="8"/>
    </row>
    <row r="2" spans="1:6" ht="13.5" customHeight="1" x14ac:dyDescent="0.3">
      <c r="A2" s="7" t="s">
        <v>208</v>
      </c>
      <c r="B2" s="7"/>
      <c r="C2" s="7"/>
      <c r="D2" s="7"/>
      <c r="E2" s="7"/>
      <c r="F2" s="7"/>
    </row>
    <row r="4" spans="1:6" ht="12" customHeight="1" x14ac:dyDescent="0.3">
      <c r="A4" s="4" t="s">
        <v>52</v>
      </c>
      <c r="B4" s="4"/>
      <c r="C4" s="4"/>
      <c r="D4" s="4"/>
      <c r="E4" s="4"/>
      <c r="F4" s="4"/>
    </row>
    <row r="5" spans="1:6" ht="15" customHeight="1" x14ac:dyDescent="0.3">
      <c r="B5" s="1" t="s">
        <v>209</v>
      </c>
      <c r="C5" s="1"/>
      <c r="D5" s="1"/>
      <c r="E5" s="1"/>
      <c r="F5" s="1"/>
    </row>
    <row r="7" spans="1:6" ht="27.75" customHeight="1" x14ac:dyDescent="0.3">
      <c r="B7" s="19" t="s">
        <v>210</v>
      </c>
      <c r="C7" s="19" t="s">
        <v>211</v>
      </c>
      <c r="D7" s="19" t="s">
        <v>212</v>
      </c>
      <c r="E7" s="19" t="s">
        <v>213</v>
      </c>
      <c r="F7" s="19" t="s">
        <v>214</v>
      </c>
    </row>
    <row r="8" spans="1:6" ht="15.75" customHeight="1" x14ac:dyDescent="0.3">
      <c r="B8" s="30" t="s">
        <v>215</v>
      </c>
      <c r="C8" s="31">
        <v>4.4999999999999998E-2</v>
      </c>
      <c r="D8" s="31"/>
      <c r="E8" s="55" t="str">
        <f>Summary!E7</f>
        <v>-</v>
      </c>
      <c r="F8" s="22" t="str">
        <f>IFERROR(E8-C8,"")</f>
        <v/>
      </c>
    </row>
    <row r="9" spans="1:6" ht="15.75" customHeight="1" x14ac:dyDescent="0.3">
      <c r="B9" s="34" t="s">
        <v>216</v>
      </c>
      <c r="C9" s="31">
        <v>0.06</v>
      </c>
      <c r="D9" s="31"/>
      <c r="E9" s="56" t="str">
        <f>Summary!E9</f>
        <v>-</v>
      </c>
      <c r="F9" s="35" t="str">
        <f>IFERROR(E9-C9,"")</f>
        <v/>
      </c>
    </row>
    <row r="10" spans="1:6" ht="15.75" customHeight="1" x14ac:dyDescent="0.3">
      <c r="B10" s="30" t="s">
        <v>217</v>
      </c>
      <c r="C10" s="31">
        <v>0.08</v>
      </c>
      <c r="D10" s="31"/>
      <c r="E10" s="55" t="str">
        <f>Summary!E11</f>
        <v>-</v>
      </c>
      <c r="F10" s="22" t="str">
        <f>IFERROR(E10-C10,"")</f>
        <v/>
      </c>
    </row>
    <row r="11" spans="1:6" ht="15.75" customHeight="1" x14ac:dyDescent="0.3">
      <c r="B11" s="34" t="s">
        <v>45</v>
      </c>
      <c r="C11" s="31">
        <v>2.5000000000000001E-2</v>
      </c>
      <c r="D11" s="35"/>
      <c r="E11" s="57"/>
      <c r="F11" s="35" t="str">
        <f>IF(OR(E11="",C11=""),"",E11-C11)</f>
        <v/>
      </c>
    </row>
    <row r="12" spans="1:6" ht="15.75" customHeight="1" x14ac:dyDescent="0.3">
      <c r="B12" s="30" t="s">
        <v>47</v>
      </c>
      <c r="C12" s="28"/>
      <c r="D12" s="31"/>
      <c r="E12" s="58"/>
      <c r="F12" s="22" t="str">
        <f>IF(OR(E12="",C12=""),"",E12-C12)</f>
        <v/>
      </c>
    </row>
    <row r="13" spans="1:6" ht="15.75" customHeight="1" x14ac:dyDescent="0.3">
      <c r="B13" s="34" t="s">
        <v>218</v>
      </c>
      <c r="C13" s="26"/>
      <c r="D13" s="31"/>
      <c r="E13" s="57"/>
      <c r="F13" s="35" t="str">
        <f>IF(OR(E13="",C13=""),"",E13-C13)</f>
        <v/>
      </c>
    </row>
    <row r="14" spans="1:6" ht="15.75" customHeight="1" x14ac:dyDescent="0.3">
      <c r="B14" s="30" t="s">
        <v>219</v>
      </c>
      <c r="C14" s="28"/>
      <c r="D14" s="31"/>
      <c r="E14" s="58"/>
      <c r="F14" s="22" t="str">
        <f>IF(OR(E14="",C14=""),"",E14-C14)</f>
        <v/>
      </c>
    </row>
    <row r="15" spans="1:6" ht="15.75" customHeight="1" x14ac:dyDescent="0.3">
      <c r="B15" s="37" t="s">
        <v>220</v>
      </c>
      <c r="C15" s="40"/>
      <c r="D15" s="59"/>
      <c r="E15" s="60" t="str">
        <f>Summary!E7</f>
        <v>-</v>
      </c>
      <c r="F15" s="38"/>
    </row>
    <row r="16" spans="1:6" ht="15.75" customHeight="1" x14ac:dyDescent="0.3">
      <c r="B16" s="37" t="s">
        <v>221</v>
      </c>
      <c r="C16" s="40"/>
      <c r="D16" s="59"/>
      <c r="E16" s="60" t="str">
        <f>Summary!E9</f>
        <v>-</v>
      </c>
      <c r="F16" s="38"/>
    </row>
    <row r="17" spans="2:6" ht="15.75" customHeight="1" x14ac:dyDescent="0.3">
      <c r="B17" s="37" t="s">
        <v>222</v>
      </c>
      <c r="C17" s="40"/>
      <c r="D17" s="59"/>
      <c r="E17" s="60" t="str">
        <f>Summary!E11</f>
        <v>-</v>
      </c>
      <c r="F17" s="38"/>
    </row>
    <row r="20" spans="2:6" ht="15.75" customHeight="1" x14ac:dyDescent="0.3">
      <c r="B20" s="5" t="s">
        <v>223</v>
      </c>
      <c r="C20" s="5"/>
      <c r="D20" s="5"/>
      <c r="E20" s="5"/>
      <c r="F20" s="5"/>
    </row>
    <row r="21" spans="2:6" ht="24" customHeight="1" x14ac:dyDescent="0.3">
      <c r="B21" s="19" t="s">
        <v>224</v>
      </c>
      <c r="C21" s="19" t="s">
        <v>225</v>
      </c>
      <c r="D21" s="19" t="s">
        <v>226</v>
      </c>
      <c r="E21" s="19"/>
      <c r="F21" s="19"/>
    </row>
    <row r="22" spans="2:6" ht="15" customHeight="1" x14ac:dyDescent="0.3">
      <c r="B22" s="20" t="s">
        <v>227</v>
      </c>
      <c r="C22" s="33" t="s">
        <v>228</v>
      </c>
      <c r="D22" s="33" t="s">
        <v>229</v>
      </c>
    </row>
    <row r="23" spans="2:6" ht="15" customHeight="1" x14ac:dyDescent="0.3">
      <c r="B23" s="24" t="s">
        <v>230</v>
      </c>
      <c r="C23" s="36" t="s">
        <v>231</v>
      </c>
      <c r="D23" s="36" t="s">
        <v>232</v>
      </c>
    </row>
    <row r="24" spans="2:6" ht="15" customHeight="1" x14ac:dyDescent="0.3">
      <c r="B24" s="20" t="s">
        <v>233</v>
      </c>
      <c r="C24" s="33" t="s">
        <v>234</v>
      </c>
      <c r="D24" s="33" t="s">
        <v>235</v>
      </c>
    </row>
    <row r="25" spans="2:6" ht="15" customHeight="1" x14ac:dyDescent="0.3">
      <c r="B25" s="24" t="s">
        <v>236</v>
      </c>
      <c r="C25" s="36" t="s">
        <v>235</v>
      </c>
      <c r="D25" s="36" t="s">
        <v>234</v>
      </c>
    </row>
    <row r="26" spans="2:6" ht="15" customHeight="1" x14ac:dyDescent="0.3">
      <c r="B26" s="20" t="s">
        <v>237</v>
      </c>
      <c r="C26" s="33" t="s">
        <v>229</v>
      </c>
      <c r="D26" s="33" t="s">
        <v>238</v>
      </c>
    </row>
  </sheetData>
  <mergeCells count="5">
    <mergeCell ref="A1:F1"/>
    <mergeCell ref="A2:F2"/>
    <mergeCell ref="A4:F4"/>
    <mergeCell ref="B5:F5"/>
    <mergeCell ref="B20:F2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2B21"/>
  </sheetPr>
  <dimension ref="A1:E28"/>
  <sheetViews>
    <sheetView zoomScaleNormal="100" workbookViewId="0">
      <pane xSplit="2" ySplit="6" topLeftCell="C7" activePane="bottomRight" state="frozen"/>
      <selection pane="topRight" activeCell="C1" sqref="C1"/>
      <selection pane="bottomLeft" activeCell="A7" sqref="A7"/>
      <selection pane="bottomRight" sqref="A1:E1"/>
    </sheetView>
  </sheetViews>
  <sheetFormatPr defaultColWidth="8.6640625" defaultRowHeight="14.4" x14ac:dyDescent="0.3"/>
  <cols>
    <col min="1" max="1" width="1" customWidth="1"/>
    <col min="2" max="2" width="50" customWidth="1"/>
    <col min="3" max="5" width="18" customWidth="1"/>
    <col min="6" max="6" width="2" customWidth="1"/>
  </cols>
  <sheetData>
    <row r="1" spans="1:5" ht="27.75" customHeight="1" x14ac:dyDescent="0.3">
      <c r="A1" s="8" t="s">
        <v>239</v>
      </c>
      <c r="B1" s="8"/>
      <c r="C1" s="8"/>
      <c r="D1" s="8"/>
      <c r="E1" s="8"/>
    </row>
    <row r="2" spans="1:5" ht="13.5" customHeight="1" x14ac:dyDescent="0.3">
      <c r="A2" s="7" t="s">
        <v>54</v>
      </c>
      <c r="B2" s="7"/>
      <c r="C2" s="7"/>
      <c r="D2" s="7"/>
      <c r="E2" s="7"/>
    </row>
    <row r="4" spans="1:5" ht="12" customHeight="1" x14ac:dyDescent="0.3">
      <c r="A4" s="4" t="s">
        <v>52</v>
      </c>
      <c r="B4" s="4"/>
      <c r="C4" s="4"/>
      <c r="D4" s="4"/>
      <c r="E4" s="4"/>
    </row>
    <row r="5" spans="1:5" ht="31.5" customHeight="1" x14ac:dyDescent="0.3">
      <c r="B5" s="19" t="s">
        <v>55</v>
      </c>
      <c r="C5" s="19" t="s">
        <v>240</v>
      </c>
      <c r="D5" s="19" t="s">
        <v>241</v>
      </c>
      <c r="E5" s="19" t="s">
        <v>242</v>
      </c>
    </row>
    <row r="6" spans="1:5" ht="15.75" customHeight="1" x14ac:dyDescent="0.3">
      <c r="B6" s="5" t="s">
        <v>243</v>
      </c>
      <c r="C6" s="5"/>
      <c r="D6" s="5"/>
      <c r="E6" s="5"/>
    </row>
    <row r="7" spans="1:5" ht="15.75" customHeight="1" x14ac:dyDescent="0.3">
      <c r="B7" s="34" t="s">
        <v>244</v>
      </c>
      <c r="C7" s="49"/>
      <c r="D7" s="49"/>
      <c r="E7" s="44" t="str">
        <f>IF(OR(C7="",D7=""),"",C7+D7)</f>
        <v/>
      </c>
    </row>
    <row r="8" spans="1:5" ht="15.75" customHeight="1" x14ac:dyDescent="0.3">
      <c r="B8" s="30" t="s">
        <v>245</v>
      </c>
      <c r="C8" s="49"/>
      <c r="D8" s="49"/>
      <c r="E8" s="43" t="str">
        <f>IF(OR(C8="",D8=""),"",C8+D8)</f>
        <v/>
      </c>
    </row>
    <row r="9" spans="1:5" ht="15.75" customHeight="1" x14ac:dyDescent="0.3">
      <c r="B9" s="34" t="s">
        <v>246</v>
      </c>
      <c r="C9" s="49"/>
      <c r="D9" s="49"/>
      <c r="E9" s="44" t="str">
        <f>IF(OR(C9="",D9=""),"",C9+D9)</f>
        <v/>
      </c>
    </row>
    <row r="10" spans="1:5" ht="15.75" customHeight="1" x14ac:dyDescent="0.3">
      <c r="B10" s="30" t="s">
        <v>247</v>
      </c>
      <c r="C10" s="49"/>
      <c r="D10" s="49"/>
      <c r="E10" s="43" t="str">
        <f>IF(OR(C10="",D10=""),"",C10+D10)</f>
        <v/>
      </c>
    </row>
    <row r="11" spans="1:5" ht="15.75" customHeight="1" x14ac:dyDescent="0.3">
      <c r="B11" s="34" t="s">
        <v>248</v>
      </c>
      <c r="C11" s="49"/>
      <c r="D11" s="49"/>
      <c r="E11" s="44" t="str">
        <f>IF(OR(C11="",D11=""),"",C11+D11)</f>
        <v/>
      </c>
    </row>
    <row r="12" spans="1:5" ht="15.75" customHeight="1" x14ac:dyDescent="0.3">
      <c r="B12" s="37" t="s">
        <v>249</v>
      </c>
      <c r="C12" s="61"/>
      <c r="D12" s="61"/>
      <c r="E12" s="61" t="str">
        <f>IF(C12="","",C12)</f>
        <v/>
      </c>
    </row>
    <row r="13" spans="1:5" ht="15.75" customHeight="1" x14ac:dyDescent="0.3">
      <c r="B13" s="34" t="s">
        <v>250</v>
      </c>
      <c r="C13" s="49"/>
      <c r="D13" s="49"/>
      <c r="E13" s="44" t="str">
        <f t="shared" ref="E13:E19" si="0">IF(OR(C13="",D13=""),"",C13+D13)</f>
        <v/>
      </c>
    </row>
    <row r="14" spans="1:5" ht="15.75" customHeight="1" x14ac:dyDescent="0.3">
      <c r="B14" s="30" t="s">
        <v>251</v>
      </c>
      <c r="C14" s="49"/>
      <c r="D14" s="49"/>
      <c r="E14" s="43" t="str">
        <f t="shared" si="0"/>
        <v/>
      </c>
    </row>
    <row r="15" spans="1:5" ht="15.75" customHeight="1" x14ac:dyDescent="0.3">
      <c r="B15" s="34" t="s">
        <v>252</v>
      </c>
      <c r="C15" s="49"/>
      <c r="D15" s="49"/>
      <c r="E15" s="44" t="str">
        <f t="shared" si="0"/>
        <v/>
      </c>
    </row>
    <row r="16" spans="1:5" ht="15.75" customHeight="1" x14ac:dyDescent="0.3">
      <c r="B16" s="30" t="s">
        <v>253</v>
      </c>
      <c r="C16" s="49"/>
      <c r="D16" s="49"/>
      <c r="E16" s="43" t="str">
        <f t="shared" si="0"/>
        <v/>
      </c>
    </row>
    <row r="17" spans="2:5" ht="15.75" customHeight="1" x14ac:dyDescent="0.3">
      <c r="B17" s="34" t="s">
        <v>254</v>
      </c>
      <c r="C17" s="49"/>
      <c r="D17" s="49"/>
      <c r="E17" s="44" t="str">
        <f t="shared" si="0"/>
        <v/>
      </c>
    </row>
    <row r="18" spans="2:5" ht="15.75" customHeight="1" x14ac:dyDescent="0.3">
      <c r="B18" s="30" t="s">
        <v>255</v>
      </c>
      <c r="C18" s="49"/>
      <c r="D18" s="49"/>
      <c r="E18" s="43" t="str">
        <f t="shared" si="0"/>
        <v/>
      </c>
    </row>
    <row r="19" spans="2:5" ht="15.75" customHeight="1" x14ac:dyDescent="0.3">
      <c r="B19" s="34" t="s">
        <v>256</v>
      </c>
      <c r="C19" s="49"/>
      <c r="D19" s="49"/>
      <c r="E19" s="44" t="str">
        <f t="shared" si="0"/>
        <v/>
      </c>
    </row>
    <row r="20" spans="2:5" ht="15.75" customHeight="1" x14ac:dyDescent="0.3">
      <c r="B20" s="37" t="s">
        <v>257</v>
      </c>
      <c r="C20" s="61"/>
      <c r="D20" s="61"/>
      <c r="E20" s="61" t="str">
        <f>IF(C20="","",C20)</f>
        <v/>
      </c>
    </row>
    <row r="21" spans="2:5" ht="15.75" customHeight="1" x14ac:dyDescent="0.3">
      <c r="B21" s="34" t="s">
        <v>258</v>
      </c>
      <c r="C21" s="44"/>
      <c r="D21" s="44"/>
      <c r="E21" s="44" t="str">
        <f>IF(E19="","",E19-'Schedule 1'!E55)</f>
        <v/>
      </c>
    </row>
    <row r="23" spans="2:5" ht="15.75" customHeight="1" x14ac:dyDescent="0.3">
      <c r="B23" s="3" t="s">
        <v>259</v>
      </c>
      <c r="C23" s="3"/>
      <c r="D23" s="3"/>
      <c r="E23" s="3"/>
    </row>
    <row r="24" spans="2:5" ht="19.5" customHeight="1" x14ac:dyDescent="0.3">
      <c r="B24" s="19" t="s">
        <v>260</v>
      </c>
      <c r="C24" s="19" t="s">
        <v>25</v>
      </c>
      <c r="D24" s="19" t="s">
        <v>261</v>
      </c>
      <c r="E24" s="19" t="s">
        <v>262</v>
      </c>
    </row>
    <row r="25" spans="2:5" ht="15" customHeight="1" x14ac:dyDescent="0.3">
      <c r="B25" s="30" t="s">
        <v>263</v>
      </c>
      <c r="C25" s="21">
        <f>'Schedule 2'!G57</f>
        <v>0</v>
      </c>
      <c r="D25" s="22" t="str">
        <f>IF($C$28=0,"",C25/$C$28)</f>
        <v/>
      </c>
      <c r="E25" s="62" t="s">
        <v>264</v>
      </c>
    </row>
    <row r="26" spans="2:5" ht="15" customHeight="1" x14ac:dyDescent="0.3">
      <c r="B26" s="34" t="s">
        <v>265</v>
      </c>
      <c r="C26" s="25">
        <f>'Schedule 3'!E24</f>
        <v>0</v>
      </c>
      <c r="D26" s="35" t="str">
        <f>IF($C$28=0,"",C26/$C$28)</f>
        <v/>
      </c>
      <c r="E26" s="63" t="s">
        <v>266</v>
      </c>
    </row>
    <row r="27" spans="2:5" ht="15" customHeight="1" x14ac:dyDescent="0.3">
      <c r="B27" s="30" t="s">
        <v>267</v>
      </c>
      <c r="C27" s="21">
        <f>'Schedule 4'!G15</f>
        <v>0</v>
      </c>
      <c r="D27" s="22" t="str">
        <f>IF($C$28=0,"",C27/$C$28)</f>
        <v/>
      </c>
      <c r="E27" s="62" t="s">
        <v>268</v>
      </c>
    </row>
    <row r="28" spans="2:5" ht="15.75" customHeight="1" x14ac:dyDescent="0.3">
      <c r="B28" s="45" t="s">
        <v>269</v>
      </c>
      <c r="C28" s="46">
        <f>SUM(C25:C27)</f>
        <v>0</v>
      </c>
      <c r="D28" s="64">
        <f>100%</f>
        <v>1</v>
      </c>
      <c r="E28" s="45"/>
    </row>
  </sheetData>
  <mergeCells count="5">
    <mergeCell ref="A1:E1"/>
    <mergeCell ref="A2:E2"/>
    <mergeCell ref="A4:E4"/>
    <mergeCell ref="B6:E6"/>
    <mergeCell ref="B23:E2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Summary</vt:lpstr>
      <vt:lpstr>Schedule 1</vt:lpstr>
      <vt:lpstr>Schedule 2</vt:lpstr>
      <vt:lpstr>Schedule 3</vt:lpstr>
      <vt:lpstr>Schedule 4</vt:lpstr>
      <vt:lpstr>Schedule 5</vt:lpstr>
      <vt:lpstr>Schedule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Siddharth Sharma</cp:lastModifiedBy>
  <cp:revision>0</cp:revision>
  <dcterms:created xsi:type="dcterms:W3CDTF">2026-06-08T13:25:02Z</dcterms:created>
  <dcterms:modified xsi:type="dcterms:W3CDTF">2026-06-09T10:46:39Z</dcterms:modified>
  <dc:language>en-US</dc:language>
</cp:coreProperties>
</file>